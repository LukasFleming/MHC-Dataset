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O:\Projects\HyDiPro\Digi-HyPro\6_Components_Phase-I\3_MH-Compressors\5. Lab Compressor (Compresito)\09  First Publication\05  Manuscript &amp; Suppl. Data\06  New ESI following the Review Report\"/>
    </mc:Choice>
  </mc:AlternateContent>
  <xr:revisionPtr revIDLastSave="0" documentId="13_ncr:1_{EAC77A53-D8B7-46E6-8E61-D659DDC03573}" xr6:coauthVersionLast="47" xr6:coauthVersionMax="47" xr10:uidLastSave="{00000000-0000-0000-0000-000000000000}"/>
  <bookViews>
    <workbookView xWindow="5508" yWindow="0" windowWidth="16020" windowHeight="12336" tabRatio="729" xr2:uid="{519CEB5C-753F-4AD6-8BAA-1A40EA6A86E8}"/>
  </bookViews>
  <sheets>
    <sheet name="Ti-Zr-Mn-V-Fe Absorption" sheetId="1" r:id="rId1"/>
    <sheet name="Ti-Zr-Mn-V-Fe Desorption" sheetId="2" r:id="rId2"/>
    <sheet name="Mm-Ni-Fe-Al Absorption" sheetId="3" r:id="rId3"/>
    <sheet name="Mm-Ni-Fe-Al Desorption" sheetId="4" r:id="rId4"/>
    <sheet name="Ti-Cr-Mn-Fe-V Absorption" sheetId="5" r:id="rId5"/>
    <sheet name="Ti-Cr-Mn-Fe-V Desorp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6" l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" i="6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4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5" i="5"/>
  <c r="F4" i="5"/>
</calcChain>
</file>

<file path=xl/sharedStrings.xml><?xml version="1.0" encoding="utf-8"?>
<sst xmlns="http://schemas.openxmlformats.org/spreadsheetml/2006/main" count="198" uniqueCount="12">
  <si>
    <t>wt.%</t>
  </si>
  <si>
    <t>hydrogen content</t>
  </si>
  <si>
    <t>temperature</t>
  </si>
  <si>
    <t>pressure</t>
  </si>
  <si>
    <t>K</t>
  </si>
  <si>
    <t>bar</t>
  </si>
  <si>
    <t>MmNi4.43Fe0.87Al0.01C0.02  Desorption PCIs</t>
  </si>
  <si>
    <t>MmNi4.43Fe0.87Al0.01C0.02  Absorption PCIs</t>
  </si>
  <si>
    <t>Ti0.95Zr0.05Mn1.46V0.45Fe0.09 (Hydralloy®C5)  Desorption PCIs</t>
  </si>
  <si>
    <t>Ti0.95Zr0.05Mn1.46V0.45Fe0.09 (Hydralloy®C5)  Absorption PCIs</t>
  </si>
  <si>
    <t>TiCr1.24Mn0.21Fe0.41V0.01   Absorption PCIs</t>
  </si>
  <si>
    <t>TiCr1.24Mn0.21Fe0.41V0.01   Desorption 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</si>
</sst>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E5A0-03D5-431C-BE6B-2087E9D49922}">
  <dimension ref="A1:AE260"/>
  <sheetViews>
    <sheetView tabSelected="1" workbookViewId="0"/>
  </sheetViews>
  <sheetFormatPr baseColWidth="10" defaultRowHeight="14.4" x14ac:dyDescent="0.3"/>
  <cols>
    <col min="1" max="1" width="17.88671875" style="1" customWidth="1"/>
    <col min="2" max="2" width="13.77734375" style="1" customWidth="1"/>
    <col min="3" max="3" width="11.5546875" style="1"/>
    <col min="4" max="4" width="9.44140625" style="1" customWidth="1"/>
    <col min="5" max="5" width="15.77734375" style="1" bestFit="1" customWidth="1"/>
    <col min="6" max="7" width="11.5546875" style="1"/>
    <col min="8" max="8" width="9.44140625" style="1" customWidth="1"/>
    <col min="9" max="9" width="15.77734375" style="1" bestFit="1" customWidth="1"/>
    <col min="10" max="12" width="11.5546875" style="1"/>
    <col min="13" max="13" width="15.77734375" style="1" bestFit="1" customWidth="1"/>
    <col min="14" max="16384" width="11.5546875" style="1"/>
  </cols>
  <sheetData>
    <row r="1" spans="1:31" s="4" customFormat="1" x14ac:dyDescent="0.3">
      <c r="A1" s="3" t="s">
        <v>9</v>
      </c>
      <c r="B1" s="3"/>
      <c r="C1" s="3"/>
    </row>
    <row r="2" spans="1:31" x14ac:dyDescent="0.3">
      <c r="A2" s="2" t="s">
        <v>1</v>
      </c>
      <c r="B2" s="2" t="s">
        <v>2</v>
      </c>
      <c r="C2" s="2" t="s">
        <v>3</v>
      </c>
      <c r="E2" s="2" t="s">
        <v>1</v>
      </c>
      <c r="F2" s="2" t="s">
        <v>2</v>
      </c>
      <c r="G2" s="2" t="s">
        <v>3</v>
      </c>
      <c r="I2" s="2" t="s">
        <v>1</v>
      </c>
      <c r="J2" s="2" t="s">
        <v>2</v>
      </c>
      <c r="K2" s="2" t="s">
        <v>3</v>
      </c>
      <c r="M2" s="2" t="s">
        <v>1</v>
      </c>
      <c r="N2" s="2" t="s">
        <v>2</v>
      </c>
      <c r="O2" s="2" t="s">
        <v>3</v>
      </c>
      <c r="Q2" s="2" t="s">
        <v>1</v>
      </c>
      <c r="R2" s="2" t="s">
        <v>2</v>
      </c>
      <c r="S2" s="2" t="s">
        <v>3</v>
      </c>
      <c r="U2" s="2" t="s">
        <v>1</v>
      </c>
      <c r="V2" s="2" t="s">
        <v>2</v>
      </c>
      <c r="W2" s="2" t="s">
        <v>3</v>
      </c>
      <c r="Y2" s="2" t="s">
        <v>1</v>
      </c>
      <c r="Z2" s="2" t="s">
        <v>2</v>
      </c>
      <c r="AA2" s="2" t="s">
        <v>3</v>
      </c>
      <c r="AC2" s="2" t="s">
        <v>1</v>
      </c>
      <c r="AD2" s="2" t="s">
        <v>2</v>
      </c>
      <c r="AE2" s="2" t="s">
        <v>3</v>
      </c>
    </row>
    <row r="3" spans="1:31" x14ac:dyDescent="0.3">
      <c r="A3" s="2" t="s">
        <v>0</v>
      </c>
      <c r="B3" s="2" t="s">
        <v>4</v>
      </c>
      <c r="C3" s="2" t="s">
        <v>5</v>
      </c>
      <c r="E3" s="2" t="s">
        <v>0</v>
      </c>
      <c r="F3" s="2" t="s">
        <v>4</v>
      </c>
      <c r="G3" s="2" t="s">
        <v>5</v>
      </c>
      <c r="I3" s="2" t="s">
        <v>0</v>
      </c>
      <c r="J3" s="2" t="s">
        <v>4</v>
      </c>
      <c r="K3" s="2" t="s">
        <v>5</v>
      </c>
      <c r="M3" s="2" t="s">
        <v>0</v>
      </c>
      <c r="N3" s="2" t="s">
        <v>4</v>
      </c>
      <c r="O3" s="2" t="s">
        <v>5</v>
      </c>
      <c r="Q3" s="2" t="s">
        <v>0</v>
      </c>
      <c r="R3" s="2" t="s">
        <v>4</v>
      </c>
      <c r="S3" s="2" t="s">
        <v>5</v>
      </c>
      <c r="U3" s="2" t="s">
        <v>0</v>
      </c>
      <c r="V3" s="2" t="s">
        <v>4</v>
      </c>
      <c r="W3" s="2" t="s">
        <v>5</v>
      </c>
      <c r="Y3" s="2" t="s">
        <v>0</v>
      </c>
      <c r="Z3" s="2" t="s">
        <v>4</v>
      </c>
      <c r="AA3" s="2" t="s">
        <v>5</v>
      </c>
      <c r="AC3" s="2" t="s">
        <v>0</v>
      </c>
      <c r="AD3" s="2" t="s">
        <v>4</v>
      </c>
      <c r="AE3" s="2" t="s">
        <v>5</v>
      </c>
    </row>
    <row r="4" spans="1:31" x14ac:dyDescent="0.3">
      <c r="A4" s="1">
        <v>7.1526794221720398E-3</v>
      </c>
      <c r="B4" s="1">
        <v>273.39999999999998</v>
      </c>
      <c r="C4" s="1">
        <v>5.5021999999999996E-3</v>
      </c>
      <c r="E4" s="1">
        <v>8.8709207479218607E-3</v>
      </c>
      <c r="F4" s="1">
        <v>283.5</v>
      </c>
      <c r="G4" s="1">
        <v>0.33682658999999998</v>
      </c>
      <c r="I4" s="1">
        <v>0</v>
      </c>
      <c r="J4" s="1">
        <v>293.10000000000002</v>
      </c>
      <c r="K4" s="1">
        <v>0.45194471000000003</v>
      </c>
      <c r="M4" s="1">
        <v>0</v>
      </c>
      <c r="N4" s="1">
        <v>302.89999999999998</v>
      </c>
      <c r="O4" s="1">
        <v>0.62297725999999998</v>
      </c>
      <c r="Q4" s="1">
        <v>0</v>
      </c>
      <c r="R4" s="1">
        <v>312.8</v>
      </c>
      <c r="S4" s="1">
        <v>0.43878829000000003</v>
      </c>
      <c r="U4" s="1">
        <v>0</v>
      </c>
      <c r="V4" s="1">
        <v>322.89999999999998</v>
      </c>
      <c r="W4" s="1">
        <v>0.43878829000000003</v>
      </c>
      <c r="Y4" s="1">
        <v>0</v>
      </c>
      <c r="Z4" s="1">
        <v>343</v>
      </c>
      <c r="AA4" s="1">
        <v>1.100669E-2</v>
      </c>
      <c r="AC4" s="1">
        <v>0</v>
      </c>
      <c r="AD4" s="1">
        <v>363</v>
      </c>
      <c r="AE4" s="1">
        <v>1.100669E-2</v>
      </c>
    </row>
    <row r="5" spans="1:31" x14ac:dyDescent="0.3">
      <c r="A5" s="1">
        <v>3.1277162221372903E-2</v>
      </c>
      <c r="B5" s="1">
        <v>273.39999999999998</v>
      </c>
      <c r="C5" s="1">
        <v>2.202368E-2</v>
      </c>
      <c r="E5" s="1">
        <v>3.39892573055363E-2</v>
      </c>
      <c r="F5" s="1">
        <v>283.5</v>
      </c>
      <c r="G5" s="1">
        <v>0.33353751999999998</v>
      </c>
      <c r="I5" s="1">
        <v>3.8423634937034198E-2</v>
      </c>
      <c r="J5" s="1">
        <v>293.10000000000002</v>
      </c>
      <c r="K5" s="1">
        <v>1.1262077100000001</v>
      </c>
      <c r="M5" s="1">
        <v>1.1362847365401701E-2</v>
      </c>
      <c r="N5" s="1">
        <v>302.89999999999998</v>
      </c>
      <c r="O5" s="1">
        <v>0.84334611999999998</v>
      </c>
      <c r="Q5" s="1">
        <v>3.7896924615108803E-2</v>
      </c>
      <c r="R5" s="1">
        <v>312.8</v>
      </c>
      <c r="S5" s="1">
        <v>0.61968814999999999</v>
      </c>
      <c r="U5" s="1">
        <v>2.6521057299317901E-2</v>
      </c>
      <c r="V5" s="1">
        <v>322.89999999999998</v>
      </c>
      <c r="W5" s="1">
        <v>0.97819882999999996</v>
      </c>
      <c r="Y5" s="1">
        <v>0.101435429193503</v>
      </c>
      <c r="Z5" s="1">
        <v>343</v>
      </c>
      <c r="AA5" s="1">
        <v>2.0590939499999998</v>
      </c>
      <c r="AC5" s="1">
        <v>8.4766032231867794E-2</v>
      </c>
      <c r="AD5" s="1">
        <v>363</v>
      </c>
      <c r="AE5" s="1">
        <v>2.07010293</v>
      </c>
    </row>
    <row r="6" spans="1:31" x14ac:dyDescent="0.3">
      <c r="A6" s="1">
        <v>5.2493838925213303E-2</v>
      </c>
      <c r="B6" s="1">
        <v>273.39999999999998</v>
      </c>
      <c r="C6" s="1">
        <v>7.1572109999999994E-2</v>
      </c>
      <c r="E6" s="1">
        <v>4.9299886705981802E-2</v>
      </c>
      <c r="F6" s="1">
        <v>283.5</v>
      </c>
      <c r="G6" s="1">
        <v>0.47167921000000002</v>
      </c>
      <c r="I6" s="1">
        <v>5.8636631904933699E-2</v>
      </c>
      <c r="J6" s="1">
        <v>293.10000000000002</v>
      </c>
      <c r="K6" s="1">
        <v>1.65903997</v>
      </c>
      <c r="M6" s="1">
        <v>1.8459880868643801E-2</v>
      </c>
      <c r="N6" s="1">
        <v>302.89999999999998</v>
      </c>
      <c r="O6" s="1">
        <v>1.01108968</v>
      </c>
      <c r="Q6" s="1">
        <v>5.3521829070503499E-2</v>
      </c>
      <c r="R6" s="1">
        <v>312.8</v>
      </c>
      <c r="S6" s="1">
        <v>0.83347892999999995</v>
      </c>
      <c r="U6" s="1">
        <v>4.7366276349009001E-2</v>
      </c>
      <c r="V6" s="1">
        <v>322.89999999999998</v>
      </c>
      <c r="W6" s="1">
        <v>1.61628175</v>
      </c>
      <c r="Y6" s="1">
        <v>0.13721715806496801</v>
      </c>
      <c r="Z6" s="1">
        <v>343</v>
      </c>
      <c r="AA6" s="1">
        <v>4.2117824600000002</v>
      </c>
      <c r="AC6" s="1">
        <v>0.113247181965836</v>
      </c>
      <c r="AD6" s="1">
        <v>363</v>
      </c>
      <c r="AE6" s="1">
        <v>4.2448172599999996</v>
      </c>
    </row>
    <row r="7" spans="1:31" x14ac:dyDescent="0.3">
      <c r="A7" s="1">
        <v>7.0057089108507095E-2</v>
      </c>
      <c r="B7" s="1">
        <v>273.39999999999998</v>
      </c>
      <c r="C7" s="1">
        <v>0.15966797999999999</v>
      </c>
      <c r="E7" s="1">
        <v>6.3666485371243906E-2</v>
      </c>
      <c r="F7" s="1">
        <v>283.5</v>
      </c>
      <c r="G7" s="1">
        <v>0.62626630000000005</v>
      </c>
      <c r="I7" s="1">
        <v>8.2518730207050903E-2</v>
      </c>
      <c r="J7" s="1">
        <v>293.10000000000002</v>
      </c>
      <c r="K7" s="1">
        <v>2.3990850400000001</v>
      </c>
      <c r="M7" s="1">
        <v>2.3568206496554799E-2</v>
      </c>
      <c r="N7" s="1">
        <v>302.89999999999998</v>
      </c>
      <c r="O7" s="1">
        <v>1.139364</v>
      </c>
      <c r="Q7" s="1">
        <v>6.5818370733419396E-2</v>
      </c>
      <c r="R7" s="1">
        <v>312.8</v>
      </c>
      <c r="S7" s="1">
        <v>1.05713689</v>
      </c>
      <c r="U7" s="1">
        <v>6.3814677901322794E-2</v>
      </c>
      <c r="V7" s="1">
        <v>322.89999999999998</v>
      </c>
      <c r="W7" s="1">
        <v>2.2510757400000001</v>
      </c>
      <c r="Y7" s="1">
        <v>0.16582038398207799</v>
      </c>
      <c r="Z7" s="1">
        <v>343</v>
      </c>
      <c r="AA7" s="1">
        <v>6.6727867099999996</v>
      </c>
      <c r="AC7" s="1">
        <v>0.13477351747409699</v>
      </c>
      <c r="AD7" s="1">
        <v>363</v>
      </c>
      <c r="AE7" s="1">
        <v>6.4250364299999996</v>
      </c>
    </row>
    <row r="8" spans="1:31" x14ac:dyDescent="0.3">
      <c r="A8" s="1">
        <v>8.6123876986130901E-2</v>
      </c>
      <c r="B8" s="1">
        <v>273.39999999999998</v>
      </c>
      <c r="C8" s="1">
        <v>0.25876485999999999</v>
      </c>
      <c r="E8" s="1">
        <v>7.4524374688367395E-2</v>
      </c>
      <c r="F8" s="1">
        <v>283.5</v>
      </c>
      <c r="G8" s="1">
        <v>0.82690078</v>
      </c>
      <c r="I8" s="1">
        <v>0.10373008442223</v>
      </c>
      <c r="J8" s="1">
        <v>293.10000000000002</v>
      </c>
      <c r="K8" s="1">
        <v>3.1687314500000001</v>
      </c>
      <c r="M8" s="1">
        <v>3.1288525521731003E-2</v>
      </c>
      <c r="N8" s="1">
        <v>302.89999999999998</v>
      </c>
      <c r="O8" s="1">
        <v>1.35644388</v>
      </c>
      <c r="Q8" s="1">
        <v>7.5411205315061694E-2</v>
      </c>
      <c r="R8" s="1">
        <v>312.8</v>
      </c>
      <c r="S8" s="1">
        <v>1.35644388</v>
      </c>
      <c r="U8" s="1">
        <v>7.8670351707693195E-2</v>
      </c>
      <c r="V8" s="1">
        <v>322.89999999999998</v>
      </c>
      <c r="W8" s="1">
        <v>2.9319171900000001</v>
      </c>
      <c r="Y8" s="1">
        <v>0.19112543602632301</v>
      </c>
      <c r="Z8" s="1">
        <v>343</v>
      </c>
      <c r="AA8" s="1">
        <v>9.1723298999999994</v>
      </c>
      <c r="AC8" s="1">
        <v>0.156216587146458</v>
      </c>
      <c r="AD8" s="1">
        <v>363</v>
      </c>
      <c r="AE8" s="1">
        <v>8.9576148999999994</v>
      </c>
    </row>
    <row r="9" spans="1:31" x14ac:dyDescent="0.3">
      <c r="A9" s="1">
        <v>9.8800986860514001E-2</v>
      </c>
      <c r="B9" s="1">
        <v>273.39999999999998</v>
      </c>
      <c r="C9" s="1">
        <v>0.39640117000000002</v>
      </c>
      <c r="E9" s="1">
        <v>8.0850926624376707E-2</v>
      </c>
      <c r="F9" s="1">
        <v>283.5</v>
      </c>
      <c r="G9" s="1">
        <v>0.95846432000000004</v>
      </c>
      <c r="I9" s="1">
        <v>0.123677273423019</v>
      </c>
      <c r="J9" s="1">
        <v>293.10000000000002</v>
      </c>
      <c r="K9" s="1">
        <v>3.9581127199999999</v>
      </c>
      <c r="M9" s="1">
        <v>4.03822888858077E-2</v>
      </c>
      <c r="N9" s="1">
        <v>302.89999999999998</v>
      </c>
      <c r="O9" s="1">
        <v>1.6294381600000001</v>
      </c>
      <c r="Q9" s="1">
        <v>8.6529714936532706E-2</v>
      </c>
      <c r="R9" s="1">
        <v>312.8</v>
      </c>
      <c r="S9" s="1">
        <v>1.7017982</v>
      </c>
      <c r="U9" s="1">
        <v>9.0156458225091704E-2</v>
      </c>
      <c r="V9" s="1">
        <v>322.89999999999998</v>
      </c>
      <c r="W9" s="1">
        <v>3.5601329800000001</v>
      </c>
      <c r="Y9" s="1">
        <v>0.20785410697283699</v>
      </c>
      <c r="Z9" s="1">
        <v>343</v>
      </c>
      <c r="AA9" s="1">
        <v>11.319514270000001</v>
      </c>
      <c r="AC9" s="1">
        <v>0.17137026363763699</v>
      </c>
      <c r="AD9" s="1">
        <v>363</v>
      </c>
      <c r="AE9" s="1">
        <v>11.082773209999999</v>
      </c>
    </row>
    <row r="10" spans="1:31" x14ac:dyDescent="0.3">
      <c r="A10" s="1">
        <v>0.11303393486637101</v>
      </c>
      <c r="B10" s="1">
        <v>273.39999999999998</v>
      </c>
      <c r="C10" s="1">
        <v>0.53404545999999997</v>
      </c>
      <c r="E10" s="1">
        <v>8.7584463751130701E-2</v>
      </c>
      <c r="F10" s="1">
        <v>283.5</v>
      </c>
      <c r="G10" s="1">
        <v>1.0670042</v>
      </c>
      <c r="I10" s="1">
        <v>0.14206786982696101</v>
      </c>
      <c r="J10" s="1">
        <v>293.10000000000002</v>
      </c>
      <c r="K10" s="1">
        <v>4.76065016</v>
      </c>
      <c r="M10" s="1">
        <v>4.3860649849759299E-2</v>
      </c>
      <c r="N10" s="1">
        <v>302.89999999999998</v>
      </c>
      <c r="O10" s="1">
        <v>1.7610017099999999</v>
      </c>
      <c r="Q10" s="1">
        <v>9.7593393769091805E-2</v>
      </c>
      <c r="R10" s="1">
        <v>312.8</v>
      </c>
      <c r="S10" s="1">
        <v>2.0307068799999999</v>
      </c>
      <c r="U10" s="1">
        <v>0.106852499413333</v>
      </c>
      <c r="V10" s="1">
        <v>322.89999999999998</v>
      </c>
      <c r="W10" s="1">
        <v>4.49423409</v>
      </c>
      <c r="Y10" s="1">
        <v>0.227758169966396</v>
      </c>
      <c r="Z10" s="1">
        <v>343</v>
      </c>
      <c r="AA10" s="1">
        <v>13.65939522</v>
      </c>
      <c r="AC10" s="1">
        <v>0.18433291961635401</v>
      </c>
      <c r="AD10" s="1">
        <v>363</v>
      </c>
      <c r="AE10" s="1">
        <v>13.428158760000001</v>
      </c>
    </row>
    <row r="11" spans="1:31" x14ac:dyDescent="0.3">
      <c r="A11" s="1">
        <v>0.12528648865786501</v>
      </c>
      <c r="B11" s="1">
        <v>273.39999999999998</v>
      </c>
      <c r="C11" s="1">
        <v>0.68819529000000002</v>
      </c>
      <c r="E11" s="1">
        <v>9.4529029909850598E-2</v>
      </c>
      <c r="F11" s="1">
        <v>283.5</v>
      </c>
      <c r="G11" s="1">
        <v>1.20185673</v>
      </c>
      <c r="I11" s="1">
        <v>0.15593498818051199</v>
      </c>
      <c r="J11" s="1">
        <v>293.10000000000002</v>
      </c>
      <c r="K11" s="1">
        <v>5.4086003299999996</v>
      </c>
      <c r="M11" s="1">
        <v>5.01894665708357E-2</v>
      </c>
      <c r="N11" s="1">
        <v>302.89999999999998</v>
      </c>
      <c r="O11" s="1">
        <v>1.9846596700000001</v>
      </c>
      <c r="Q11" s="1">
        <v>0.107034830205595</v>
      </c>
      <c r="R11" s="1">
        <v>312.8</v>
      </c>
      <c r="S11" s="1">
        <v>2.2675213799999998</v>
      </c>
      <c r="U11" s="1">
        <v>0.11979841453454899</v>
      </c>
      <c r="V11" s="1">
        <v>322.89999999999998</v>
      </c>
      <c r="W11" s="1">
        <v>5.3263730999999996</v>
      </c>
      <c r="Y11" s="1">
        <v>0.2481512433352</v>
      </c>
      <c r="Z11" s="1">
        <v>343</v>
      </c>
      <c r="AA11" s="1">
        <v>16.026807789999999</v>
      </c>
      <c r="AC11" s="1">
        <v>0.20023528298795901</v>
      </c>
      <c r="AD11" s="1">
        <v>363</v>
      </c>
      <c r="AE11" s="1">
        <v>15.71849155</v>
      </c>
    </row>
    <row r="12" spans="1:31" x14ac:dyDescent="0.3">
      <c r="A12" s="1">
        <v>0.13522798307916001</v>
      </c>
      <c r="B12" s="1">
        <v>273.39999999999998</v>
      </c>
      <c r="C12" s="1">
        <v>0.84786558000000001</v>
      </c>
      <c r="E12" s="1">
        <v>9.8958537723451506E-2</v>
      </c>
      <c r="F12" s="1">
        <v>283.5</v>
      </c>
      <c r="G12" s="1">
        <v>1.3268420700000001</v>
      </c>
      <c r="I12" s="1">
        <v>0.16943941813188701</v>
      </c>
      <c r="J12" s="1">
        <v>293.10000000000002</v>
      </c>
      <c r="K12" s="1">
        <v>6.0433940899999996</v>
      </c>
      <c r="M12" s="1">
        <v>5.8869369996899998E-2</v>
      </c>
      <c r="N12" s="1">
        <v>302.89999999999998</v>
      </c>
      <c r="O12" s="1">
        <v>2.2938339700000001</v>
      </c>
      <c r="Q12" s="1">
        <v>0.11282885619670199</v>
      </c>
      <c r="R12" s="1">
        <v>312.8</v>
      </c>
      <c r="S12" s="1">
        <v>2.5339374499999998</v>
      </c>
      <c r="U12" s="1">
        <v>0.131825040149331</v>
      </c>
      <c r="V12" s="1">
        <v>322.89999999999998</v>
      </c>
      <c r="W12" s="1">
        <v>6.1420669600000002</v>
      </c>
      <c r="Y12" s="1">
        <v>0.267046237300476</v>
      </c>
      <c r="Z12" s="1">
        <v>343</v>
      </c>
      <c r="AA12" s="1">
        <v>18.317132950000001</v>
      </c>
      <c r="AC12" s="1">
        <v>0.21306880635676301</v>
      </c>
      <c r="AD12" s="1">
        <v>363</v>
      </c>
      <c r="AE12" s="1">
        <v>18.107921600000001</v>
      </c>
    </row>
    <row r="13" spans="1:31" x14ac:dyDescent="0.3">
      <c r="A13" s="1">
        <v>0.14527545231326899</v>
      </c>
      <c r="B13" s="1">
        <v>273.39999999999998</v>
      </c>
      <c r="C13" s="1">
        <v>1.0240412999999999</v>
      </c>
      <c r="E13" s="1">
        <v>0.10422493667829399</v>
      </c>
      <c r="F13" s="1">
        <v>283.5</v>
      </c>
      <c r="G13" s="1">
        <v>1.4320929099999999</v>
      </c>
      <c r="I13" s="1">
        <v>0.18917963053513101</v>
      </c>
      <c r="J13" s="1">
        <v>293.10000000000002</v>
      </c>
      <c r="K13" s="1">
        <v>6.8755335799999999</v>
      </c>
      <c r="M13" s="1">
        <v>6.2954217314338506E-2</v>
      </c>
      <c r="N13" s="1">
        <v>302.89999999999998</v>
      </c>
      <c r="O13" s="1">
        <v>2.4615774199999998</v>
      </c>
      <c r="Q13" s="1">
        <v>0.119210605859639</v>
      </c>
      <c r="R13" s="1">
        <v>312.8</v>
      </c>
      <c r="S13" s="1">
        <v>2.89902616</v>
      </c>
      <c r="U13" s="1">
        <v>0.14595509780948401</v>
      </c>
      <c r="V13" s="1">
        <v>322.89999999999998</v>
      </c>
      <c r="W13" s="1">
        <v>7.0926137000000002</v>
      </c>
      <c r="Y13" s="1">
        <v>0.28601250117614102</v>
      </c>
      <c r="Z13" s="1">
        <v>343</v>
      </c>
      <c r="AA13" s="1">
        <v>20.657012940000001</v>
      </c>
      <c r="AC13" s="1">
        <v>0.227415933267992</v>
      </c>
      <c r="AD13" s="1">
        <v>363</v>
      </c>
      <c r="AE13" s="1">
        <v>20.486333850000001</v>
      </c>
    </row>
    <row r="14" spans="1:31" x14ac:dyDescent="0.3">
      <c r="A14" s="1">
        <v>0.15449982693301301</v>
      </c>
      <c r="B14" s="1">
        <v>273.39999999999998</v>
      </c>
      <c r="C14" s="1">
        <v>1.19472063</v>
      </c>
      <c r="E14" s="1">
        <v>0.115783721032805</v>
      </c>
      <c r="F14" s="1">
        <v>283.5</v>
      </c>
      <c r="G14" s="1">
        <v>1.6985089799999999</v>
      </c>
      <c r="I14" s="1">
        <v>0.20945897214336701</v>
      </c>
      <c r="J14" s="1">
        <v>293.10000000000002</v>
      </c>
      <c r="K14" s="1">
        <v>7.6879386900000002</v>
      </c>
      <c r="M14" s="1">
        <v>7.0323510076253801E-2</v>
      </c>
      <c r="N14" s="1">
        <v>302.89999999999998</v>
      </c>
      <c r="O14" s="1">
        <v>2.75430632</v>
      </c>
      <c r="Q14" s="1">
        <v>0.127262567532509</v>
      </c>
      <c r="R14" s="1">
        <v>312.8</v>
      </c>
      <c r="S14" s="1">
        <v>3.2246460899999998</v>
      </c>
      <c r="U14" s="1">
        <v>0.15677314967868899</v>
      </c>
      <c r="V14" s="1">
        <v>322.89999999999998</v>
      </c>
      <c r="W14" s="1">
        <v>7.90830755</v>
      </c>
      <c r="Y14" s="1">
        <v>0.30015569735368203</v>
      </c>
      <c r="Z14" s="1">
        <v>343</v>
      </c>
      <c r="AA14" s="1">
        <v>22.969364169999999</v>
      </c>
      <c r="AC14" s="1">
        <v>0.24029108955474701</v>
      </c>
      <c r="AD14" s="1">
        <v>363</v>
      </c>
      <c r="AE14" s="1">
        <v>22.864755630000001</v>
      </c>
    </row>
    <row r="15" spans="1:31" x14ac:dyDescent="0.3">
      <c r="A15" s="1">
        <v>0.16316191258322801</v>
      </c>
      <c r="B15" s="1">
        <v>273.39999999999998</v>
      </c>
      <c r="C15" s="1">
        <v>1.35987937</v>
      </c>
      <c r="E15" s="1">
        <v>0.119786315038043</v>
      </c>
      <c r="F15" s="1">
        <v>283.5</v>
      </c>
      <c r="G15" s="1">
        <v>1.83336163</v>
      </c>
      <c r="I15" s="1">
        <v>0.23322902157810199</v>
      </c>
      <c r="J15" s="1">
        <v>293.10000000000002</v>
      </c>
      <c r="K15" s="1">
        <v>8.4510068900000004</v>
      </c>
      <c r="M15" s="1">
        <v>7.7367267891558802E-2</v>
      </c>
      <c r="N15" s="1">
        <v>302.89999999999998</v>
      </c>
      <c r="O15" s="1">
        <v>3.0601916299999998</v>
      </c>
      <c r="Q15" s="1">
        <v>0.13416174887999799</v>
      </c>
      <c r="R15" s="1">
        <v>312.8</v>
      </c>
      <c r="S15" s="1">
        <v>3.3726549100000001</v>
      </c>
      <c r="U15" s="1">
        <v>0.168159959926513</v>
      </c>
      <c r="V15" s="1">
        <v>322.89999999999998</v>
      </c>
      <c r="W15" s="1">
        <v>8.8259630199999997</v>
      </c>
      <c r="Y15" s="1">
        <v>0.32098556353962499</v>
      </c>
      <c r="Z15" s="1">
        <v>343</v>
      </c>
      <c r="AA15" s="1">
        <v>25.276203160000001</v>
      </c>
      <c r="AC15" s="1">
        <v>0.25136191751610198</v>
      </c>
      <c r="AD15" s="1">
        <v>363</v>
      </c>
      <c r="AE15" s="1">
        <v>25.26519394</v>
      </c>
    </row>
    <row r="16" spans="1:31" x14ac:dyDescent="0.3">
      <c r="A16" s="1">
        <v>0.17219283100455801</v>
      </c>
      <c r="B16" s="1">
        <v>273.39999999999998</v>
      </c>
      <c r="C16" s="1">
        <v>1.5415675600000001</v>
      </c>
      <c r="E16" s="1">
        <v>0.122053210674036</v>
      </c>
      <c r="F16" s="1">
        <v>283.5</v>
      </c>
      <c r="G16" s="1">
        <v>1.9287451499999999</v>
      </c>
      <c r="I16" s="1">
        <v>0.26383926166138999</v>
      </c>
      <c r="J16" s="1">
        <v>293.10000000000002</v>
      </c>
      <c r="K16" s="1">
        <v>9.2009191500000007</v>
      </c>
      <c r="M16" s="1">
        <v>8.2902671820554399E-2</v>
      </c>
      <c r="N16" s="1">
        <v>302.89999999999998</v>
      </c>
      <c r="O16" s="1">
        <v>3.3331859100000001</v>
      </c>
      <c r="Q16" s="1">
        <v>0.13758140221229401</v>
      </c>
      <c r="R16" s="1">
        <v>312.8</v>
      </c>
      <c r="S16" s="1">
        <v>3.81339264</v>
      </c>
      <c r="U16" s="1">
        <v>0.17882675755604999</v>
      </c>
      <c r="V16" s="1">
        <v>322.89999999999998</v>
      </c>
      <c r="W16" s="1">
        <v>9.6252117199999994</v>
      </c>
      <c r="Y16" s="1">
        <v>0.34079930427051303</v>
      </c>
      <c r="Z16" s="1">
        <v>343</v>
      </c>
      <c r="AA16" s="1">
        <v>27.577552799999999</v>
      </c>
      <c r="AC16" s="1">
        <v>0.26436973462615498</v>
      </c>
      <c r="AD16" s="1">
        <v>363</v>
      </c>
      <c r="AE16" s="1">
        <v>27.649127960000001</v>
      </c>
    </row>
    <row r="17" spans="1:31" x14ac:dyDescent="0.3">
      <c r="A17" s="1">
        <v>0.18073862985484901</v>
      </c>
      <c r="B17" s="1">
        <v>273.39999999999998</v>
      </c>
      <c r="C17" s="1">
        <v>1.7287603600000001</v>
      </c>
      <c r="E17" s="1">
        <v>0.13216561438005101</v>
      </c>
      <c r="F17" s="1">
        <v>283.5</v>
      </c>
      <c r="G17" s="1">
        <v>2.1787161799999999</v>
      </c>
      <c r="I17" s="1">
        <v>0.29534518182660702</v>
      </c>
      <c r="J17" s="1">
        <v>293.10000000000002</v>
      </c>
      <c r="K17" s="1">
        <v>9.81597805</v>
      </c>
      <c r="M17" s="1">
        <v>8.6776649003705797E-2</v>
      </c>
      <c r="N17" s="1">
        <v>302.89999999999998</v>
      </c>
      <c r="O17" s="1">
        <v>3.5338201499999999</v>
      </c>
      <c r="Q17" s="1">
        <v>0.14580052025099399</v>
      </c>
      <c r="R17" s="1">
        <v>312.8</v>
      </c>
      <c r="S17" s="1">
        <v>3.9844253100000002</v>
      </c>
      <c r="U17" s="1">
        <v>0.19027266530370199</v>
      </c>
      <c r="V17" s="1">
        <v>322.89999999999998</v>
      </c>
      <c r="W17" s="1">
        <v>10.59878063</v>
      </c>
      <c r="Y17" s="1">
        <v>0.36009157506300798</v>
      </c>
      <c r="Z17" s="1">
        <v>343</v>
      </c>
      <c r="AA17" s="1">
        <v>29.88439941</v>
      </c>
      <c r="AC17" s="1">
        <v>0.276532191809017</v>
      </c>
      <c r="AD17" s="1">
        <v>363</v>
      </c>
      <c r="AE17" s="1">
        <v>30.01653099</v>
      </c>
    </row>
    <row r="18" spans="1:31" x14ac:dyDescent="0.3">
      <c r="A18" s="1">
        <v>0.18820543684837099</v>
      </c>
      <c r="B18" s="1">
        <v>273.39999999999998</v>
      </c>
      <c r="C18" s="1">
        <v>1.9104486700000001</v>
      </c>
      <c r="E18" s="1">
        <v>0.142143165089545</v>
      </c>
      <c r="F18" s="1">
        <v>283.5</v>
      </c>
      <c r="G18" s="1">
        <v>2.4582884300000001</v>
      </c>
      <c r="I18" s="1">
        <v>0.32975630859660299</v>
      </c>
      <c r="J18" s="1">
        <v>293.10000000000002</v>
      </c>
      <c r="K18" s="1">
        <v>10.329075810000001</v>
      </c>
      <c r="M18" s="1">
        <v>9.2159058408605402E-2</v>
      </c>
      <c r="N18" s="1">
        <v>302.89999999999998</v>
      </c>
      <c r="O18" s="1">
        <v>3.7903690299999999</v>
      </c>
      <c r="Q18" s="1">
        <v>0.148814151177489</v>
      </c>
      <c r="R18" s="1">
        <v>312.8</v>
      </c>
      <c r="S18" s="1">
        <v>4.1390123399999998</v>
      </c>
      <c r="U18" s="1">
        <v>0.198921158179097</v>
      </c>
      <c r="V18" s="1">
        <v>322.89999999999998</v>
      </c>
      <c r="W18" s="1">
        <v>11.315802570000001</v>
      </c>
      <c r="Y18" s="1">
        <v>0.37821882979557597</v>
      </c>
      <c r="Z18" s="1">
        <v>343</v>
      </c>
      <c r="AA18" s="1">
        <v>32.213264469999999</v>
      </c>
      <c r="AC18" s="1">
        <v>0.288883761229348</v>
      </c>
      <c r="AD18" s="1">
        <v>363</v>
      </c>
      <c r="AE18" s="1">
        <v>32.389453889999999</v>
      </c>
    </row>
    <row r="19" spans="1:31" x14ac:dyDescent="0.3">
      <c r="A19" s="1">
        <v>0.194931157183758</v>
      </c>
      <c r="B19" s="1">
        <v>273.39999999999998</v>
      </c>
      <c r="C19" s="1">
        <v>2.0976333600000001</v>
      </c>
      <c r="E19" s="1">
        <v>0.14740329643851399</v>
      </c>
      <c r="F19" s="1">
        <v>283.5</v>
      </c>
      <c r="G19" s="1">
        <v>2.6655008800000002</v>
      </c>
      <c r="I19" s="1">
        <v>0.37333406966523403</v>
      </c>
      <c r="J19" s="1">
        <v>293.10000000000002</v>
      </c>
      <c r="K19" s="1">
        <v>10.85204124</v>
      </c>
      <c r="M19" s="1">
        <v>9.4370153039175897E-2</v>
      </c>
      <c r="N19" s="1">
        <v>302.89999999999998</v>
      </c>
      <c r="O19" s="1">
        <v>3.9120652699999998</v>
      </c>
      <c r="Q19" s="1">
        <v>0.151485938484198</v>
      </c>
      <c r="R19" s="1">
        <v>312.8</v>
      </c>
      <c r="S19" s="1">
        <v>4.2837324099999998</v>
      </c>
      <c r="U19" s="1">
        <v>0.207755180763597</v>
      </c>
      <c r="V19" s="1">
        <v>322.89999999999998</v>
      </c>
      <c r="W19" s="1">
        <v>12.052557950000001</v>
      </c>
      <c r="Y19" s="1">
        <v>0.40006270450854098</v>
      </c>
      <c r="Z19" s="1">
        <v>343</v>
      </c>
      <c r="AA19" s="1">
        <v>34.503604889999998</v>
      </c>
      <c r="AC19" s="1">
        <v>0.29944370389246699</v>
      </c>
      <c r="AD19" s="1">
        <v>363</v>
      </c>
      <c r="AE19" s="1">
        <v>34.784381869999997</v>
      </c>
    </row>
    <row r="20" spans="1:31" x14ac:dyDescent="0.3">
      <c r="A20" s="1">
        <v>0.202652426444102</v>
      </c>
      <c r="B20" s="1">
        <v>273.39999999999998</v>
      </c>
      <c r="C20" s="1">
        <v>2.2793216699999999</v>
      </c>
      <c r="E20" s="1">
        <v>0.15516088438189399</v>
      </c>
      <c r="F20" s="1">
        <v>283.5</v>
      </c>
      <c r="G20" s="1">
        <v>2.9056043599999999</v>
      </c>
      <c r="I20" s="1">
        <v>0.41324630480354402</v>
      </c>
      <c r="J20" s="1">
        <v>293.10000000000002</v>
      </c>
      <c r="K20" s="1">
        <v>11.259888650000001</v>
      </c>
      <c r="M20" s="1">
        <v>9.9317198367204498E-2</v>
      </c>
      <c r="N20" s="1">
        <v>302.89999999999998</v>
      </c>
      <c r="O20" s="1">
        <v>4.1719031299999996</v>
      </c>
      <c r="Q20" s="1">
        <v>0.153823268516699</v>
      </c>
      <c r="R20" s="1">
        <v>312.8</v>
      </c>
      <c r="S20" s="1">
        <v>4.7343373299999998</v>
      </c>
      <c r="U20" s="1">
        <v>0.21798360904153899</v>
      </c>
      <c r="V20" s="1">
        <v>322.89999999999998</v>
      </c>
      <c r="W20" s="1">
        <v>12.957057000000001</v>
      </c>
      <c r="Y20" s="1">
        <v>0.42496412894147301</v>
      </c>
      <c r="Z20" s="1">
        <v>343</v>
      </c>
      <c r="AA20" s="1">
        <v>36.771911619999997</v>
      </c>
      <c r="AC20" s="1">
        <v>0.31407943865863902</v>
      </c>
      <c r="AD20" s="1">
        <v>363</v>
      </c>
      <c r="AE20" s="1">
        <v>37.135272980000003</v>
      </c>
    </row>
    <row r="21" spans="1:31" x14ac:dyDescent="0.3">
      <c r="A21" s="1">
        <v>0.209671534184073</v>
      </c>
      <c r="B21" s="1">
        <v>273.39999999999998</v>
      </c>
      <c r="C21" s="1">
        <v>2.4720108500000002</v>
      </c>
      <c r="E21" s="1">
        <v>0.16214236906225099</v>
      </c>
      <c r="F21" s="1">
        <v>283.5</v>
      </c>
      <c r="G21" s="1">
        <v>3.1029498599999998</v>
      </c>
      <c r="I21" s="1">
        <v>0.46502414103470902</v>
      </c>
      <c r="J21" s="1">
        <v>293.10000000000002</v>
      </c>
      <c r="K21" s="1">
        <v>11.71707153</v>
      </c>
      <c r="M21" s="1">
        <v>0.106464293347413</v>
      </c>
      <c r="N21" s="1">
        <v>302.89999999999998</v>
      </c>
      <c r="O21" s="1">
        <v>4.5731720899999999</v>
      </c>
      <c r="Q21" s="1">
        <v>0.16173477308846801</v>
      </c>
      <c r="R21" s="1">
        <v>312.8</v>
      </c>
      <c r="S21" s="1">
        <v>4.8691902200000001</v>
      </c>
      <c r="U21" s="1">
        <v>0.229041883804812</v>
      </c>
      <c r="V21" s="1">
        <v>322.89999999999998</v>
      </c>
      <c r="W21" s="1">
        <v>13.77275085</v>
      </c>
      <c r="Y21" s="1">
        <v>0.46487951261551402</v>
      </c>
      <c r="Z21" s="1">
        <v>343</v>
      </c>
      <c r="AA21" s="1">
        <v>38.963138579999999</v>
      </c>
      <c r="AC21" s="1">
        <v>0.32778231380565698</v>
      </c>
      <c r="AD21" s="1">
        <v>363</v>
      </c>
      <c r="AE21" s="1">
        <v>39.49718094</v>
      </c>
    </row>
    <row r="22" spans="1:31" x14ac:dyDescent="0.3">
      <c r="A22" s="1">
        <v>0.21720481160621</v>
      </c>
      <c r="B22" s="1">
        <v>273.39999999999998</v>
      </c>
      <c r="C22" s="1">
        <v>2.6647081400000001</v>
      </c>
      <c r="E22" s="1">
        <v>0.16956189210421399</v>
      </c>
      <c r="F22" s="1">
        <v>283.5</v>
      </c>
      <c r="G22" s="1">
        <v>3.3923895399999999</v>
      </c>
      <c r="I22" s="1">
        <v>0.51967550460581802</v>
      </c>
      <c r="J22" s="1">
        <v>293.10000000000002</v>
      </c>
      <c r="K22" s="1">
        <v>12.12162876</v>
      </c>
      <c r="M22" s="1">
        <v>0.10876212991015401</v>
      </c>
      <c r="N22" s="1">
        <v>302.89999999999998</v>
      </c>
      <c r="O22" s="1">
        <v>4.7244701400000002</v>
      </c>
      <c r="Q22" s="1">
        <v>0.164140525029179</v>
      </c>
      <c r="R22" s="1">
        <v>312.8</v>
      </c>
      <c r="S22" s="1">
        <v>5.1652078599999998</v>
      </c>
      <c r="U22" s="1">
        <v>0.238612971359494</v>
      </c>
      <c r="V22" s="1">
        <v>322.89999999999998</v>
      </c>
      <c r="W22" s="1">
        <v>14.59173393</v>
      </c>
      <c r="Y22" s="1">
        <v>0.51914555141416996</v>
      </c>
      <c r="Z22" s="1">
        <v>343</v>
      </c>
      <c r="AA22" s="1">
        <v>41.09380341</v>
      </c>
      <c r="AC22" s="1">
        <v>0.34091009017082102</v>
      </c>
      <c r="AD22" s="1">
        <v>363</v>
      </c>
      <c r="AE22" s="1">
        <v>41.848068240000003</v>
      </c>
    </row>
    <row r="23" spans="1:31" x14ac:dyDescent="0.3">
      <c r="A23" s="1">
        <v>0.224995200757898</v>
      </c>
      <c r="B23" s="1">
        <v>273.39999999999998</v>
      </c>
      <c r="C23" s="1">
        <v>2.8574054200000001</v>
      </c>
      <c r="E23" s="1">
        <v>0.177294090313072</v>
      </c>
      <c r="F23" s="1">
        <v>283.5</v>
      </c>
      <c r="G23" s="1">
        <v>3.64893818</v>
      </c>
      <c r="I23" s="1">
        <v>0.57666598640342703</v>
      </c>
      <c r="J23" s="1">
        <v>293.10000000000002</v>
      </c>
      <c r="K23" s="1">
        <v>12.49987411</v>
      </c>
      <c r="M23" s="1">
        <v>0.114488025064587</v>
      </c>
      <c r="N23" s="1">
        <v>302.89999999999998</v>
      </c>
      <c r="O23" s="1">
        <v>5.0468010899999998</v>
      </c>
      <c r="Q23" s="1">
        <v>0.169166672178792</v>
      </c>
      <c r="R23" s="1">
        <v>312.8</v>
      </c>
      <c r="S23" s="1">
        <v>5.5631876</v>
      </c>
      <c r="U23" s="1">
        <v>0.249518525512301</v>
      </c>
      <c r="V23" s="1">
        <v>322.89999999999998</v>
      </c>
      <c r="W23" s="1">
        <v>15.384404180000001</v>
      </c>
      <c r="Y23" s="1">
        <v>0.58405127049845995</v>
      </c>
      <c r="Z23" s="1">
        <v>343</v>
      </c>
      <c r="AA23" s="1">
        <v>43.174922940000002</v>
      </c>
      <c r="AC23" s="1">
        <v>0.35782646206944801</v>
      </c>
      <c r="AD23" s="1">
        <v>363</v>
      </c>
      <c r="AE23" s="1">
        <v>44.19345474</v>
      </c>
    </row>
    <row r="24" spans="1:31" x14ac:dyDescent="0.3">
      <c r="A24" s="1">
        <v>0.23252438654382401</v>
      </c>
      <c r="B24" s="1">
        <v>273.39999999999998</v>
      </c>
      <c r="C24" s="1">
        <v>3.0501024700000001</v>
      </c>
      <c r="E24" s="1">
        <v>0.18117037013902601</v>
      </c>
      <c r="F24" s="1">
        <v>283.5</v>
      </c>
      <c r="G24" s="1">
        <v>3.73116541</v>
      </c>
      <c r="I24" s="1">
        <v>0.63494890320680297</v>
      </c>
      <c r="J24" s="1">
        <v>293.10000000000002</v>
      </c>
      <c r="K24" s="1">
        <v>12.845228199999999</v>
      </c>
      <c r="M24" s="1">
        <v>0.115719125098816</v>
      </c>
      <c r="N24" s="1">
        <v>302.89999999999998</v>
      </c>
      <c r="O24" s="1">
        <v>5.1388950299999996</v>
      </c>
      <c r="Q24" s="1">
        <v>0.17553829398663101</v>
      </c>
      <c r="R24" s="1">
        <v>312.8</v>
      </c>
      <c r="S24" s="1">
        <v>5.9216980899999996</v>
      </c>
      <c r="U24" s="1">
        <v>0.26170797981881</v>
      </c>
      <c r="V24" s="1">
        <v>322.89999999999998</v>
      </c>
      <c r="W24" s="1">
        <v>16.25272369</v>
      </c>
      <c r="Y24" s="1">
        <v>0.65414628583029999</v>
      </c>
      <c r="Z24" s="1">
        <v>343</v>
      </c>
      <c r="AA24" s="1">
        <v>45.239524840000001</v>
      </c>
      <c r="AC24" s="1">
        <v>0.37296673134976199</v>
      </c>
      <c r="AD24" s="1">
        <v>363</v>
      </c>
      <c r="AE24" s="1">
        <v>46.516822810000001</v>
      </c>
    </row>
    <row r="25" spans="1:31" x14ac:dyDescent="0.3">
      <c r="A25" s="1">
        <v>0.24001723101554601</v>
      </c>
      <c r="B25" s="1">
        <v>273.39999999999998</v>
      </c>
      <c r="C25" s="1">
        <v>3.2372872799999999</v>
      </c>
      <c r="E25" s="1">
        <v>0.183465339792792</v>
      </c>
      <c r="F25" s="1">
        <v>283.5</v>
      </c>
      <c r="G25" s="1">
        <v>3.85286164</v>
      </c>
      <c r="I25" s="1">
        <v>0.697022655547053</v>
      </c>
      <c r="J25" s="1">
        <v>293.10000000000002</v>
      </c>
      <c r="K25" s="1">
        <v>13.177427290000001</v>
      </c>
      <c r="M25" s="1">
        <v>0.118133147320353</v>
      </c>
      <c r="N25" s="1">
        <v>302.89999999999998</v>
      </c>
      <c r="O25" s="1">
        <v>5.2671699500000004</v>
      </c>
      <c r="Q25" s="1">
        <v>0.18169172386420701</v>
      </c>
      <c r="R25" s="1">
        <v>312.8</v>
      </c>
      <c r="S25" s="1">
        <v>6.3723034900000002</v>
      </c>
      <c r="U25" s="1">
        <v>0.27212696506455197</v>
      </c>
      <c r="V25" s="1">
        <v>322.89999999999998</v>
      </c>
      <c r="W25" s="1">
        <v>16.97961235</v>
      </c>
      <c r="Y25" s="1">
        <v>0.73000216797815798</v>
      </c>
      <c r="Z25" s="1">
        <v>343</v>
      </c>
      <c r="AA25" s="1">
        <v>47.254570010000002</v>
      </c>
      <c r="AC25" s="1">
        <v>0.388543087804537</v>
      </c>
      <c r="AD25" s="1">
        <v>363</v>
      </c>
      <c r="AE25" s="1">
        <v>48.851192470000001</v>
      </c>
    </row>
    <row r="26" spans="1:31" x14ac:dyDescent="0.3">
      <c r="A26" s="1">
        <v>0.24902109616948101</v>
      </c>
      <c r="B26" s="1">
        <v>273.39999999999998</v>
      </c>
      <c r="C26" s="1">
        <v>3.4189755900000001</v>
      </c>
      <c r="E26" s="1">
        <v>0.18921241615385601</v>
      </c>
      <c r="F26" s="1">
        <v>283.5</v>
      </c>
      <c r="G26" s="1">
        <v>4.0962543499999997</v>
      </c>
      <c r="I26" s="1">
        <v>0.75767615384355902</v>
      </c>
      <c r="J26" s="1">
        <v>293.10000000000002</v>
      </c>
      <c r="K26" s="1">
        <v>13.48331261</v>
      </c>
      <c r="M26" s="1">
        <v>0.120319852691449</v>
      </c>
      <c r="N26" s="1">
        <v>302.89999999999998</v>
      </c>
      <c r="O26" s="1">
        <v>5.37899876</v>
      </c>
      <c r="Q26" s="1">
        <v>0.188247350105333</v>
      </c>
      <c r="R26" s="1">
        <v>312.8</v>
      </c>
      <c r="S26" s="1">
        <v>6.8031740200000002</v>
      </c>
      <c r="U26" s="1">
        <v>0.28385909912717</v>
      </c>
      <c r="V26" s="1">
        <v>322.89999999999998</v>
      </c>
      <c r="W26" s="1">
        <v>17.805173870000001</v>
      </c>
      <c r="Y26" s="1">
        <v>0.82059892565107795</v>
      </c>
      <c r="Z26" s="1">
        <v>343</v>
      </c>
      <c r="AA26" s="1">
        <v>49.209056850000003</v>
      </c>
      <c r="AC26" s="1">
        <v>0.40030332866143897</v>
      </c>
      <c r="AD26" s="1">
        <v>363</v>
      </c>
      <c r="AE26" s="1">
        <v>51.207588199999996</v>
      </c>
    </row>
    <row r="27" spans="1:31" x14ac:dyDescent="0.3">
      <c r="A27" s="1">
        <v>0.25680331890646801</v>
      </c>
      <c r="B27" s="1">
        <v>273.39999999999998</v>
      </c>
      <c r="C27" s="1">
        <v>3.61167288</v>
      </c>
      <c r="E27" s="1">
        <v>0.19259136889457201</v>
      </c>
      <c r="F27" s="1">
        <v>283.5</v>
      </c>
      <c r="G27" s="1">
        <v>4.1784815799999997</v>
      </c>
      <c r="I27" s="1">
        <v>0.82073932193174604</v>
      </c>
      <c r="J27" s="1">
        <v>293.10000000000002</v>
      </c>
      <c r="K27" s="1">
        <v>13.78590775</v>
      </c>
      <c r="M27" s="1">
        <v>0.124121214521193</v>
      </c>
      <c r="N27" s="1">
        <v>302.89999999999998</v>
      </c>
      <c r="O27" s="1">
        <v>5.6158132600000004</v>
      </c>
      <c r="Q27" s="1">
        <v>0.19473569775032501</v>
      </c>
      <c r="R27" s="1">
        <v>312.8</v>
      </c>
      <c r="S27" s="1">
        <v>7.2603568999999997</v>
      </c>
      <c r="U27" s="1">
        <v>0.29456712582949302</v>
      </c>
      <c r="V27" s="1">
        <v>322.89999999999998</v>
      </c>
      <c r="W27" s="1">
        <v>18.476146700000001</v>
      </c>
      <c r="Y27" s="1">
        <v>0.93461525813497603</v>
      </c>
      <c r="Z27" s="1">
        <v>343</v>
      </c>
      <c r="AA27" s="1">
        <v>51.053428650000001</v>
      </c>
      <c r="AC27" s="1">
        <v>0.417066576099132</v>
      </c>
      <c r="AD27" s="1">
        <v>363</v>
      </c>
      <c r="AE27" s="1">
        <v>53.541973110000001</v>
      </c>
    </row>
    <row r="28" spans="1:31" x14ac:dyDescent="0.3">
      <c r="A28" s="1">
        <v>0.26602202825826599</v>
      </c>
      <c r="B28" s="1">
        <v>273.39999999999998</v>
      </c>
      <c r="C28" s="1">
        <v>3.7878565800000001</v>
      </c>
      <c r="E28" s="1">
        <v>0.19593307074813801</v>
      </c>
      <c r="F28" s="1">
        <v>283.5</v>
      </c>
      <c r="G28" s="1">
        <v>4.3034667999999998</v>
      </c>
      <c r="I28" s="1">
        <v>0.88135761892187703</v>
      </c>
      <c r="J28" s="1">
        <v>293.10000000000002</v>
      </c>
      <c r="K28" s="1">
        <v>14.06548119</v>
      </c>
      <c r="M28" s="1">
        <v>0.128889036696066</v>
      </c>
      <c r="N28" s="1">
        <v>302.89999999999998</v>
      </c>
      <c r="O28" s="1">
        <v>5.8592052499999996</v>
      </c>
      <c r="Q28" s="1">
        <v>0.200842813745857</v>
      </c>
      <c r="R28" s="1">
        <v>312.8</v>
      </c>
      <c r="S28" s="1">
        <v>7.6451807000000001</v>
      </c>
      <c r="U28" s="1">
        <v>0.30633409046996102</v>
      </c>
      <c r="V28" s="1">
        <v>322.89999999999998</v>
      </c>
      <c r="W28" s="1">
        <v>19.281972889999999</v>
      </c>
      <c r="Y28" s="1">
        <v>1.0503427741108899</v>
      </c>
      <c r="Z28" s="1">
        <v>343</v>
      </c>
      <c r="AA28" s="1">
        <v>52.864784239999999</v>
      </c>
      <c r="AC28" s="1">
        <v>0.437809648235788</v>
      </c>
      <c r="AD28" s="1">
        <v>363</v>
      </c>
      <c r="AE28" s="1">
        <v>55.832298280000003</v>
      </c>
    </row>
    <row r="29" spans="1:31" x14ac:dyDescent="0.3">
      <c r="A29" s="1">
        <v>0.273169398351082</v>
      </c>
      <c r="B29" s="1">
        <v>273.39999999999998</v>
      </c>
      <c r="C29" s="1">
        <v>3.9640324100000002</v>
      </c>
      <c r="E29" s="1">
        <v>0.20306172101359801</v>
      </c>
      <c r="F29" s="1">
        <v>283.5</v>
      </c>
      <c r="G29" s="1">
        <v>4.5764613199999999</v>
      </c>
      <c r="I29" s="1">
        <v>0.935146955580758</v>
      </c>
      <c r="J29" s="1">
        <v>293.10000000000002</v>
      </c>
      <c r="K29" s="1">
        <v>14.3121624</v>
      </c>
      <c r="M29" s="1">
        <v>0.13411829386461499</v>
      </c>
      <c r="N29" s="1">
        <v>302.89999999999998</v>
      </c>
      <c r="O29" s="1">
        <v>6.1683797800000004</v>
      </c>
      <c r="Q29" s="1">
        <v>0.206573232140216</v>
      </c>
      <c r="R29" s="1">
        <v>312.8</v>
      </c>
      <c r="S29" s="1">
        <v>7.9675111799999998</v>
      </c>
      <c r="U29" s="1">
        <v>0.31867673130579099</v>
      </c>
      <c r="V29" s="1">
        <v>322.89999999999998</v>
      </c>
      <c r="W29" s="1">
        <v>20.054910660000001</v>
      </c>
      <c r="Y29" s="1">
        <v>1.15561337125455</v>
      </c>
      <c r="Z29" s="1">
        <v>343</v>
      </c>
      <c r="AA29" s="1">
        <v>54.720157620000002</v>
      </c>
      <c r="AC29" s="1">
        <v>0.46317397426491203</v>
      </c>
      <c r="AD29" s="1">
        <v>363</v>
      </c>
      <c r="AE29" s="1">
        <v>58.122619630000003</v>
      </c>
    </row>
    <row r="30" spans="1:31" x14ac:dyDescent="0.3">
      <c r="A30" s="1">
        <v>0.28152950127212101</v>
      </c>
      <c r="B30" s="1">
        <v>273.39999999999998</v>
      </c>
      <c r="C30" s="1">
        <v>4.1291990299999997</v>
      </c>
      <c r="E30" s="1">
        <v>0.21182948618046901</v>
      </c>
      <c r="F30" s="1">
        <v>283.5</v>
      </c>
      <c r="G30" s="1">
        <v>4.84616661</v>
      </c>
      <c r="I30" s="1">
        <v>0.99846892889483696</v>
      </c>
      <c r="J30" s="1">
        <v>293.10000000000002</v>
      </c>
      <c r="K30" s="1">
        <v>14.59173393</v>
      </c>
      <c r="M30" s="1">
        <v>0.13726167429072</v>
      </c>
      <c r="N30" s="1">
        <v>302.89999999999998</v>
      </c>
      <c r="O30" s="1">
        <v>6.3723034900000002</v>
      </c>
      <c r="Q30" s="1">
        <v>0.21177867061285699</v>
      </c>
      <c r="R30" s="1">
        <v>312.8</v>
      </c>
      <c r="S30" s="1">
        <v>8.34246731</v>
      </c>
      <c r="U30" s="1">
        <v>0.33277076018767299</v>
      </c>
      <c r="V30" s="1">
        <v>322.89999999999998</v>
      </c>
      <c r="W30" s="1">
        <v>20.768640520000002</v>
      </c>
      <c r="Y30" s="1">
        <v>1.24274895159619</v>
      </c>
      <c r="Z30" s="1">
        <v>343</v>
      </c>
      <c r="AA30" s="1">
        <v>56.674652100000003</v>
      </c>
      <c r="AC30" s="1">
        <v>0.49146742304676599</v>
      </c>
      <c r="AD30" s="1">
        <v>363</v>
      </c>
      <c r="AE30" s="1">
        <v>60.390930179999998</v>
      </c>
    </row>
    <row r="31" spans="1:31" x14ac:dyDescent="0.3">
      <c r="A31" s="1">
        <v>0.29047685082350899</v>
      </c>
      <c r="B31" s="1">
        <v>273.39999999999998</v>
      </c>
      <c r="C31" s="1">
        <v>4.3053751</v>
      </c>
      <c r="E31" s="1">
        <v>0.22079957418128399</v>
      </c>
      <c r="F31" s="1">
        <v>283.5</v>
      </c>
      <c r="G31" s="1">
        <v>5.1060042399999999</v>
      </c>
      <c r="I31" s="1">
        <v>1.0600050906601799</v>
      </c>
      <c r="J31" s="1">
        <v>293.10000000000002</v>
      </c>
      <c r="K31" s="1">
        <v>14.877885819999999</v>
      </c>
      <c r="M31" s="1">
        <v>0.14009443299451901</v>
      </c>
      <c r="N31" s="1">
        <v>302.89999999999998</v>
      </c>
      <c r="O31" s="1">
        <v>6.5334687200000001</v>
      </c>
      <c r="Q31" s="1">
        <v>0.21693084614979699</v>
      </c>
      <c r="R31" s="1">
        <v>312.8</v>
      </c>
      <c r="S31" s="1">
        <v>8.7338685999999992</v>
      </c>
      <c r="U31" s="1">
        <v>0.34865905180485501</v>
      </c>
      <c r="V31" s="1">
        <v>322.89999999999998</v>
      </c>
      <c r="W31" s="1">
        <v>21.472505569999999</v>
      </c>
      <c r="Y31" s="1">
        <v>1.31176080541865</v>
      </c>
      <c r="Z31" s="1">
        <v>343</v>
      </c>
      <c r="AA31" s="1">
        <v>58.711723329999998</v>
      </c>
      <c r="AC31" s="1">
        <v>0.52702122933352002</v>
      </c>
      <c r="AD31" s="1">
        <v>363</v>
      </c>
      <c r="AE31" s="1">
        <v>62.615192409999999</v>
      </c>
    </row>
    <row r="32" spans="1:31" x14ac:dyDescent="0.3">
      <c r="A32" s="1">
        <v>0.30059752809732798</v>
      </c>
      <c r="B32" s="1">
        <v>273.39999999999998</v>
      </c>
      <c r="C32" s="1">
        <v>4.4650449800000001</v>
      </c>
      <c r="E32" s="1">
        <v>0.227988049610266</v>
      </c>
      <c r="F32" s="1">
        <v>283.5</v>
      </c>
      <c r="G32" s="1">
        <v>5.3691315700000004</v>
      </c>
      <c r="I32" s="1">
        <v>1.1149568523123199</v>
      </c>
      <c r="J32" s="1">
        <v>293.10000000000002</v>
      </c>
      <c r="K32" s="1">
        <v>15.15745735</v>
      </c>
      <c r="M32" s="1">
        <v>0.14140100486834101</v>
      </c>
      <c r="N32" s="1">
        <v>302.89999999999998</v>
      </c>
      <c r="O32" s="1">
        <v>6.6814775500000003</v>
      </c>
      <c r="Q32" s="1">
        <v>0.22310650704948201</v>
      </c>
      <c r="R32" s="1">
        <v>312.8</v>
      </c>
      <c r="S32" s="1">
        <v>9.1417150500000002</v>
      </c>
      <c r="U32" s="1">
        <v>0.36666269019355102</v>
      </c>
      <c r="V32" s="1">
        <v>322.89999999999998</v>
      </c>
      <c r="W32" s="1">
        <v>22.196105960000001</v>
      </c>
      <c r="Y32" s="1">
        <v>1.3508922200784099</v>
      </c>
      <c r="Z32" s="1">
        <v>343</v>
      </c>
      <c r="AA32" s="1">
        <v>60.913967130000003</v>
      </c>
      <c r="AC32" s="1">
        <v>0.56504055113413598</v>
      </c>
      <c r="AD32" s="1">
        <v>363</v>
      </c>
      <c r="AE32" s="1">
        <v>64.822944640000003</v>
      </c>
    </row>
    <row r="33" spans="1:31" x14ac:dyDescent="0.3">
      <c r="A33" s="1">
        <v>0.31008725958692102</v>
      </c>
      <c r="B33" s="1">
        <v>273.39999999999998</v>
      </c>
      <c r="C33" s="1">
        <v>4.6081857700000004</v>
      </c>
      <c r="E33" s="1">
        <v>0.23554439060768201</v>
      </c>
      <c r="F33" s="1">
        <v>283.5</v>
      </c>
      <c r="G33" s="1">
        <v>5.5763435399999999</v>
      </c>
      <c r="I33" s="1">
        <v>1.1736360614815</v>
      </c>
      <c r="J33" s="1">
        <v>293.10000000000002</v>
      </c>
      <c r="K33" s="1">
        <v>15.47320938</v>
      </c>
      <c r="M33" s="1">
        <v>0.14740350670741201</v>
      </c>
      <c r="N33" s="1">
        <v>302.89999999999998</v>
      </c>
      <c r="O33" s="1">
        <v>7.0465660100000003</v>
      </c>
      <c r="Q33" s="1">
        <v>0.228291187470852</v>
      </c>
      <c r="R33" s="1">
        <v>312.8</v>
      </c>
      <c r="S33" s="1">
        <v>9.5331163399999994</v>
      </c>
      <c r="U33" s="1">
        <v>0.38526992415926598</v>
      </c>
      <c r="V33" s="1">
        <v>322.89999999999998</v>
      </c>
      <c r="W33" s="1">
        <v>22.90983963</v>
      </c>
      <c r="Y33" s="1">
        <v>1.3940577939232699</v>
      </c>
      <c r="Z33" s="1">
        <v>343</v>
      </c>
      <c r="AA33" s="1">
        <v>63.072158809999998</v>
      </c>
      <c r="AC33" s="1">
        <v>0.609844627275273</v>
      </c>
      <c r="AD33" s="1">
        <v>363</v>
      </c>
      <c r="AE33" s="1">
        <v>66.992149350000005</v>
      </c>
    </row>
    <row r="34" spans="1:31" x14ac:dyDescent="0.3">
      <c r="A34" s="1">
        <v>0.32046206658666099</v>
      </c>
      <c r="B34" s="1">
        <v>273.39999999999998</v>
      </c>
      <c r="C34" s="1">
        <v>4.7678480099999998</v>
      </c>
      <c r="E34" s="1">
        <v>0.24576053572888501</v>
      </c>
      <c r="F34" s="1">
        <v>283.5</v>
      </c>
      <c r="G34" s="1">
        <v>5.8328928900000001</v>
      </c>
      <c r="I34" s="1">
        <v>1.22887407104963</v>
      </c>
      <c r="J34" s="1">
        <v>293.10000000000002</v>
      </c>
      <c r="K34" s="1">
        <v>15.808696749999999</v>
      </c>
      <c r="M34" s="1">
        <v>0.15278820319171199</v>
      </c>
      <c r="N34" s="1">
        <v>302.89999999999998</v>
      </c>
      <c r="O34" s="1">
        <v>7.3886318199999996</v>
      </c>
      <c r="Q34" s="1">
        <v>0.233251343153351</v>
      </c>
      <c r="R34" s="1">
        <v>312.8</v>
      </c>
      <c r="S34" s="1">
        <v>9.7830877300000001</v>
      </c>
      <c r="U34" s="1">
        <v>0.40486885262007299</v>
      </c>
      <c r="V34" s="1">
        <v>322.89999999999998</v>
      </c>
      <c r="W34" s="1">
        <v>23.554500579999999</v>
      </c>
      <c r="Y34" s="1">
        <v>1.42848892271073</v>
      </c>
      <c r="Z34" s="1">
        <v>343</v>
      </c>
      <c r="AA34" s="1">
        <v>65.307434079999993</v>
      </c>
      <c r="AC34" s="1">
        <v>0.66438798364603702</v>
      </c>
      <c r="AD34" s="1">
        <v>363</v>
      </c>
      <c r="AE34" s="1">
        <v>69.144836429999998</v>
      </c>
    </row>
    <row r="35" spans="1:31" x14ac:dyDescent="0.3">
      <c r="A35" s="1">
        <v>0.33208202727224101</v>
      </c>
      <c r="B35" s="1">
        <v>273.39999999999998</v>
      </c>
      <c r="C35" s="1">
        <v>4.9220061299999998</v>
      </c>
      <c r="E35" s="1">
        <v>0.24711321579690701</v>
      </c>
      <c r="F35" s="1">
        <v>283.5</v>
      </c>
      <c r="G35" s="1">
        <v>5.9118309</v>
      </c>
      <c r="I35" s="1">
        <v>1.2828887719635</v>
      </c>
      <c r="J35" s="1">
        <v>293.10000000000002</v>
      </c>
      <c r="K35" s="1">
        <v>16.17049789</v>
      </c>
      <c r="M35" s="1">
        <v>0.15791766226869899</v>
      </c>
      <c r="N35" s="1">
        <v>302.89999999999998</v>
      </c>
      <c r="O35" s="1">
        <v>7.7109618199999996</v>
      </c>
      <c r="Q35" s="1">
        <v>0.23614551546995499</v>
      </c>
      <c r="R35" s="1">
        <v>312.8</v>
      </c>
      <c r="S35" s="1">
        <v>10.0231905</v>
      </c>
      <c r="U35" s="1">
        <v>0.426263150071026</v>
      </c>
      <c r="V35" s="1">
        <v>322.89999999999998</v>
      </c>
      <c r="W35" s="1">
        <v>24.2024498</v>
      </c>
      <c r="Y35" s="1">
        <v>1.4433229430691701</v>
      </c>
      <c r="Z35" s="1">
        <v>343</v>
      </c>
      <c r="AA35" s="1">
        <v>67.630798339999998</v>
      </c>
      <c r="AC35" s="1">
        <v>0.716871569042285</v>
      </c>
      <c r="AD35" s="1">
        <v>363</v>
      </c>
      <c r="AE35" s="1">
        <v>71.270004270000001</v>
      </c>
    </row>
    <row r="36" spans="1:31" x14ac:dyDescent="0.3">
      <c r="A36" s="1">
        <v>0.344613410980532</v>
      </c>
      <c r="B36" s="1">
        <v>273.39999999999998</v>
      </c>
      <c r="C36" s="1">
        <v>5.0596504199999996</v>
      </c>
      <c r="E36" s="1">
        <v>0.25596774103972902</v>
      </c>
      <c r="F36" s="1">
        <v>283.5</v>
      </c>
      <c r="G36" s="1">
        <v>6.1354889899999998</v>
      </c>
      <c r="I36" s="1">
        <v>1.3252547079781001</v>
      </c>
      <c r="J36" s="1">
        <v>293.10000000000002</v>
      </c>
      <c r="K36" s="1">
        <v>16.5125618</v>
      </c>
      <c r="M36" s="1">
        <v>0.163668357143398</v>
      </c>
      <c r="N36" s="1">
        <v>302.89999999999998</v>
      </c>
      <c r="O36" s="1">
        <v>8.0760507599999993</v>
      </c>
      <c r="Q36" s="1">
        <v>0.24008465773920901</v>
      </c>
      <c r="R36" s="1">
        <v>312.8</v>
      </c>
      <c r="S36" s="1">
        <v>10.41459274</v>
      </c>
      <c r="U36" s="1">
        <v>0.44999839293342703</v>
      </c>
      <c r="V36" s="1">
        <v>322.89999999999998</v>
      </c>
      <c r="W36" s="1">
        <v>24.801063540000001</v>
      </c>
      <c r="Y36" s="1">
        <v>1.4501775560347201</v>
      </c>
      <c r="Z36" s="1">
        <v>343</v>
      </c>
      <c r="AA36" s="1">
        <v>69.970672609999994</v>
      </c>
      <c r="AC36" s="1">
        <v>0.77332933399607995</v>
      </c>
      <c r="AD36" s="1">
        <v>363</v>
      </c>
      <c r="AE36" s="1">
        <v>73.384147639999995</v>
      </c>
    </row>
    <row r="37" spans="1:31" x14ac:dyDescent="0.3">
      <c r="A37" s="1">
        <v>0.358875741118864</v>
      </c>
      <c r="B37" s="1">
        <v>273.39999999999998</v>
      </c>
      <c r="C37" s="1">
        <v>5.1862778699999996</v>
      </c>
      <c r="E37" s="1">
        <v>0.26772694428876198</v>
      </c>
      <c r="F37" s="1">
        <v>283.5</v>
      </c>
      <c r="G37" s="1">
        <v>6.3690142600000001</v>
      </c>
      <c r="I37" s="1">
        <v>1.3716443446434801</v>
      </c>
      <c r="J37" s="1">
        <v>293.10000000000002</v>
      </c>
      <c r="K37" s="1">
        <v>16.936853410000001</v>
      </c>
      <c r="M37" s="1">
        <v>0.16928308418850099</v>
      </c>
      <c r="N37" s="1">
        <v>302.89999999999998</v>
      </c>
      <c r="O37" s="1">
        <v>8.3687791800000007</v>
      </c>
      <c r="Q37" s="1">
        <v>0.24490703639174299</v>
      </c>
      <c r="R37" s="1">
        <v>312.8</v>
      </c>
      <c r="S37" s="1">
        <v>10.805994030000001</v>
      </c>
      <c r="U37" s="1">
        <v>0.47374755949014102</v>
      </c>
      <c r="V37" s="1">
        <v>322.89999999999998</v>
      </c>
      <c r="W37" s="1">
        <v>25.373365400000001</v>
      </c>
      <c r="Y37" s="1">
        <v>1.4592521208625</v>
      </c>
      <c r="Z37" s="1">
        <v>343</v>
      </c>
      <c r="AA37" s="1">
        <v>72.332580570000005</v>
      </c>
      <c r="AC37" s="1">
        <v>0.84009159896387597</v>
      </c>
      <c r="AD37" s="1">
        <v>363</v>
      </c>
      <c r="AE37" s="1">
        <v>75.454254149999997</v>
      </c>
    </row>
    <row r="38" spans="1:31" x14ac:dyDescent="0.3">
      <c r="A38" s="1">
        <v>0.37232323354310598</v>
      </c>
      <c r="B38" s="1">
        <v>273.39999999999998</v>
      </c>
      <c r="C38" s="1">
        <v>5.3074006999999996</v>
      </c>
      <c r="E38" s="1">
        <v>0.27099516045245498</v>
      </c>
      <c r="F38" s="1">
        <v>283.5</v>
      </c>
      <c r="G38" s="1">
        <v>6.44795227</v>
      </c>
      <c r="I38" s="1">
        <v>1.41279942669411</v>
      </c>
      <c r="J38" s="1">
        <v>293.10000000000002</v>
      </c>
      <c r="K38" s="1">
        <v>17.407194140000001</v>
      </c>
      <c r="M38" s="1">
        <v>0.17500885551098699</v>
      </c>
      <c r="N38" s="1">
        <v>302.89999999999998</v>
      </c>
      <c r="O38" s="1">
        <v>8.71084499</v>
      </c>
      <c r="Q38" s="1">
        <v>0.25059141903688198</v>
      </c>
      <c r="R38" s="1">
        <v>312.8</v>
      </c>
      <c r="S38" s="1">
        <v>11.171082500000001</v>
      </c>
      <c r="U38" s="1">
        <v>0.50225455213312198</v>
      </c>
      <c r="V38" s="1">
        <v>322.89999999999998</v>
      </c>
      <c r="W38" s="1">
        <v>25.968688960000001</v>
      </c>
      <c r="Y38" s="1">
        <v>1.4792726148977899</v>
      </c>
      <c r="Z38" s="1">
        <v>343</v>
      </c>
      <c r="AA38" s="1">
        <v>74.61188507</v>
      </c>
      <c r="AC38" s="1">
        <v>0.91811592105852702</v>
      </c>
      <c r="AD38" s="1">
        <v>363</v>
      </c>
      <c r="AE38" s="1">
        <v>77.485824579999999</v>
      </c>
    </row>
    <row r="39" spans="1:31" x14ac:dyDescent="0.3">
      <c r="A39" s="1">
        <v>0.38532530233227802</v>
      </c>
      <c r="B39" s="1">
        <v>273.39999999999998</v>
      </c>
      <c r="C39" s="1">
        <v>5.4395322799999999</v>
      </c>
      <c r="E39" s="1">
        <v>0.27626328754810497</v>
      </c>
      <c r="F39" s="1">
        <v>283.5</v>
      </c>
      <c r="G39" s="1">
        <v>6.5795159300000003</v>
      </c>
      <c r="I39" s="1">
        <v>1.4478526127926401</v>
      </c>
      <c r="J39" s="1">
        <v>293.10000000000002</v>
      </c>
      <c r="K39" s="1">
        <v>17.926870350000002</v>
      </c>
      <c r="M39" s="1">
        <v>0.18081361506712501</v>
      </c>
      <c r="N39" s="1">
        <v>302.89999999999998</v>
      </c>
      <c r="O39" s="1">
        <v>9.0529098500000007</v>
      </c>
      <c r="Q39" s="1">
        <v>0.25575373283515401</v>
      </c>
      <c r="R39" s="1">
        <v>312.8</v>
      </c>
      <c r="S39" s="1">
        <v>11.440788270000001</v>
      </c>
      <c r="U39" s="1">
        <v>0.528385625980199</v>
      </c>
      <c r="V39" s="1">
        <v>322.89999999999998</v>
      </c>
      <c r="W39" s="1">
        <v>26.498233800000001</v>
      </c>
      <c r="Y39" s="1">
        <v>1.49093900527863</v>
      </c>
      <c r="Z39" s="1">
        <v>343</v>
      </c>
      <c r="AA39" s="1">
        <v>76.913246150000006</v>
      </c>
      <c r="AC39" s="1">
        <v>0.99221193036964495</v>
      </c>
      <c r="AD39" s="1">
        <v>363</v>
      </c>
      <c r="AE39" s="1">
        <v>79.506378170000005</v>
      </c>
    </row>
    <row r="40" spans="1:31" x14ac:dyDescent="0.3">
      <c r="A40" s="1">
        <v>0.398905674798675</v>
      </c>
      <c r="B40" s="1">
        <v>273.39999999999998</v>
      </c>
      <c r="C40" s="1">
        <v>5.5441417700000004</v>
      </c>
      <c r="E40" s="1">
        <v>0.27907783834674199</v>
      </c>
      <c r="F40" s="1">
        <v>283.5</v>
      </c>
      <c r="G40" s="1">
        <v>6.6255626699999999</v>
      </c>
      <c r="I40" s="1">
        <v>1.4763200738151101</v>
      </c>
      <c r="J40" s="1">
        <v>293.10000000000002</v>
      </c>
      <c r="K40" s="1">
        <v>18.509038929999999</v>
      </c>
      <c r="M40" s="1">
        <v>0.18670974064016499</v>
      </c>
      <c r="N40" s="1">
        <v>302.89999999999998</v>
      </c>
      <c r="O40" s="1">
        <v>9.3916854900000004</v>
      </c>
      <c r="Q40" s="1">
        <v>0.25932162666704101</v>
      </c>
      <c r="R40" s="1">
        <v>312.8</v>
      </c>
      <c r="S40" s="1">
        <v>11.82561207</v>
      </c>
      <c r="U40" s="1">
        <v>0.55748884608592797</v>
      </c>
      <c r="V40" s="1">
        <v>322.89999999999998</v>
      </c>
      <c r="W40" s="1">
        <v>27.03435516</v>
      </c>
      <c r="Y40" s="1">
        <v>1.49659755390647</v>
      </c>
      <c r="Z40" s="1">
        <v>343</v>
      </c>
      <c r="AA40" s="1">
        <v>79.275138850000005</v>
      </c>
      <c r="AC40" s="1">
        <v>1.05964949537945</v>
      </c>
      <c r="AD40" s="1">
        <v>363</v>
      </c>
      <c r="AE40" s="1">
        <v>81.5434494</v>
      </c>
    </row>
    <row r="41" spans="1:31" x14ac:dyDescent="0.3">
      <c r="A41" s="1">
        <v>0.41552707121530602</v>
      </c>
      <c r="B41" s="1">
        <v>273.39999999999998</v>
      </c>
      <c r="C41" s="1">
        <v>5.6432385399999996</v>
      </c>
      <c r="E41" s="1">
        <v>0.28486455393196702</v>
      </c>
      <c r="F41" s="1">
        <v>283.5</v>
      </c>
      <c r="G41" s="1">
        <v>6.7242360100000003</v>
      </c>
      <c r="I41" s="1">
        <v>1.4968240701956601</v>
      </c>
      <c r="J41" s="1">
        <v>293.10000000000002</v>
      </c>
      <c r="K41" s="1">
        <v>19.17672348</v>
      </c>
      <c r="M41" s="1">
        <v>0.19036920662106899</v>
      </c>
      <c r="N41" s="1">
        <v>302.89999999999998</v>
      </c>
      <c r="O41" s="1">
        <v>9.6350793800000005</v>
      </c>
      <c r="Q41" s="1">
        <v>0.26437964812037501</v>
      </c>
      <c r="R41" s="1">
        <v>312.8</v>
      </c>
      <c r="S41" s="1">
        <v>12.075581550000001</v>
      </c>
      <c r="U41" s="1">
        <v>0.59116385712059105</v>
      </c>
      <c r="V41" s="1">
        <v>322.89999999999998</v>
      </c>
      <c r="W41" s="1">
        <v>27.573764799999999</v>
      </c>
      <c r="Y41" s="1">
        <v>1.5022363445393401</v>
      </c>
      <c r="Z41" s="1">
        <v>343</v>
      </c>
      <c r="AA41" s="1">
        <v>81.020416260000005</v>
      </c>
      <c r="AC41" s="1">
        <v>1.1280601416410001</v>
      </c>
      <c r="AD41" s="1">
        <v>363</v>
      </c>
      <c r="AE41" s="1">
        <v>83.635574340000005</v>
      </c>
    </row>
    <row r="42" spans="1:31" x14ac:dyDescent="0.3">
      <c r="A42" s="1">
        <v>0.431078068677202</v>
      </c>
      <c r="B42" s="1">
        <v>273.39999999999998</v>
      </c>
      <c r="C42" s="1">
        <v>5.73683882</v>
      </c>
      <c r="E42" s="1">
        <v>0.286610360721056</v>
      </c>
      <c r="F42" s="1">
        <v>283.5</v>
      </c>
      <c r="G42" s="1">
        <v>6.7900171299999998</v>
      </c>
      <c r="I42" s="1">
        <v>1.51352578307665</v>
      </c>
      <c r="J42" s="1">
        <v>293.10000000000002</v>
      </c>
      <c r="K42" s="1">
        <v>19.916767119999999</v>
      </c>
      <c r="M42" s="1">
        <v>0.19496546825397101</v>
      </c>
      <c r="N42" s="1">
        <v>302.89999999999998</v>
      </c>
      <c r="O42" s="1">
        <v>9.8982067100000002</v>
      </c>
      <c r="Q42" s="1">
        <v>0.26738027404544601</v>
      </c>
      <c r="R42" s="1">
        <v>312.8</v>
      </c>
      <c r="S42" s="1">
        <v>12.42751408</v>
      </c>
      <c r="U42" s="1">
        <v>0.62321802159094497</v>
      </c>
      <c r="V42" s="1">
        <v>322.89999999999998</v>
      </c>
      <c r="W42" s="1">
        <v>28.057260509999999</v>
      </c>
      <c r="AC42" s="1">
        <v>1.186016691641</v>
      </c>
      <c r="AD42" s="1">
        <v>363</v>
      </c>
      <c r="AE42" s="1">
        <v>85.760742190000002</v>
      </c>
    </row>
    <row r="43" spans="1:31" x14ac:dyDescent="0.3">
      <c r="A43" s="1">
        <v>0.44646980674075099</v>
      </c>
      <c r="B43" s="1">
        <v>273.39999999999998</v>
      </c>
      <c r="C43" s="1">
        <v>5.8469529199999997</v>
      </c>
      <c r="E43" s="1">
        <v>0.29853543973355401</v>
      </c>
      <c r="F43" s="1">
        <v>283.5</v>
      </c>
      <c r="G43" s="1">
        <v>6.9742064499999996</v>
      </c>
      <c r="I43" s="1">
        <v>1.5247176419419399</v>
      </c>
      <c r="J43" s="1">
        <v>293.10000000000002</v>
      </c>
      <c r="K43" s="1">
        <v>20.656814579999999</v>
      </c>
      <c r="M43" s="1">
        <v>0.201647639114995</v>
      </c>
      <c r="N43" s="1">
        <v>302.89999999999998</v>
      </c>
      <c r="O43" s="1">
        <v>10.230403900000001</v>
      </c>
      <c r="Q43" s="1">
        <v>0.272649098181934</v>
      </c>
      <c r="R43" s="1">
        <v>312.8</v>
      </c>
      <c r="S43" s="1">
        <v>12.6676178</v>
      </c>
      <c r="U43" s="1">
        <v>0.65616315315520701</v>
      </c>
      <c r="V43" s="1">
        <v>322.89999999999998</v>
      </c>
      <c r="W43" s="1">
        <v>28.527601239999999</v>
      </c>
      <c r="AC43" s="1">
        <v>1.18330631811817</v>
      </c>
      <c r="AD43" s="1">
        <v>363</v>
      </c>
      <c r="AE43" s="1">
        <v>85.964454649999993</v>
      </c>
    </row>
    <row r="44" spans="1:31" x14ac:dyDescent="0.3">
      <c r="A44" s="1">
        <v>0.46291602474666099</v>
      </c>
      <c r="B44" s="1">
        <v>273.39999999999998</v>
      </c>
      <c r="C44" s="1">
        <v>5.9240236299999998</v>
      </c>
      <c r="E44" s="1">
        <v>0.30246764411737398</v>
      </c>
      <c r="F44" s="1">
        <v>283.5</v>
      </c>
      <c r="G44" s="1">
        <v>6.9972300499999998</v>
      </c>
      <c r="I44" s="1">
        <v>1.53444443121122</v>
      </c>
      <c r="J44" s="1">
        <v>293.10000000000002</v>
      </c>
      <c r="K44" s="1">
        <v>21.410013200000002</v>
      </c>
      <c r="M44" s="1">
        <v>0.20829211606140399</v>
      </c>
      <c r="N44" s="1">
        <v>302.89999999999998</v>
      </c>
      <c r="O44" s="1">
        <v>10.56260204</v>
      </c>
      <c r="Q44" s="1">
        <v>0.27678915974135698</v>
      </c>
      <c r="R44" s="1">
        <v>312.8</v>
      </c>
      <c r="S44" s="1">
        <v>12.947190279999999</v>
      </c>
      <c r="U44" s="1">
        <v>0.68782208335792205</v>
      </c>
      <c r="V44" s="1">
        <v>322.89999999999998</v>
      </c>
      <c r="W44" s="1">
        <v>28.978206629999999</v>
      </c>
      <c r="AC44" s="1">
        <v>1.2327789262111499</v>
      </c>
      <c r="AD44" s="1">
        <v>363</v>
      </c>
      <c r="AE44" s="1">
        <v>88.166687010000004</v>
      </c>
    </row>
    <row r="45" spans="1:31" x14ac:dyDescent="0.3">
      <c r="A45" s="1">
        <v>0.47557734007935298</v>
      </c>
      <c r="B45" s="1">
        <v>273.39999999999998</v>
      </c>
      <c r="C45" s="1">
        <v>6.0121116600000004</v>
      </c>
      <c r="E45" s="1">
        <v>0.317103527890013</v>
      </c>
      <c r="F45" s="1">
        <v>283.5</v>
      </c>
      <c r="G45" s="1">
        <v>7.2077312500000001</v>
      </c>
      <c r="I45" s="1">
        <v>1.5431896410654</v>
      </c>
      <c r="J45" s="1">
        <v>293.10000000000002</v>
      </c>
      <c r="K45" s="1">
        <v>22.163215640000001</v>
      </c>
      <c r="M45" s="1">
        <v>0.215851183934299</v>
      </c>
      <c r="N45" s="1">
        <v>302.89999999999998</v>
      </c>
      <c r="O45" s="1">
        <v>10.914534570000001</v>
      </c>
      <c r="Q45" s="1">
        <v>0.28073630616803202</v>
      </c>
      <c r="R45" s="1">
        <v>312.8</v>
      </c>
      <c r="S45" s="1">
        <v>13.20373917</v>
      </c>
      <c r="U45" s="1">
        <v>0.72331501527064801</v>
      </c>
      <c r="V45" s="1">
        <v>322.89999999999998</v>
      </c>
      <c r="W45" s="1">
        <v>29.435390470000002</v>
      </c>
      <c r="AC45" s="1">
        <v>1.2234905516522001</v>
      </c>
      <c r="AD45" s="1">
        <v>363</v>
      </c>
      <c r="AE45" s="1">
        <v>88.397918700000005</v>
      </c>
    </row>
    <row r="46" spans="1:31" x14ac:dyDescent="0.3">
      <c r="A46" s="1">
        <v>0.49134947863397199</v>
      </c>
      <c r="B46" s="1">
        <v>273.39999999999998</v>
      </c>
      <c r="C46" s="1">
        <v>6.1057119399999999</v>
      </c>
      <c r="E46" s="1">
        <v>0.31889265995118299</v>
      </c>
      <c r="F46" s="1">
        <v>283.5</v>
      </c>
      <c r="G46" s="1">
        <v>7.2439117399999997</v>
      </c>
      <c r="I46" s="1">
        <v>1.5503400211244101</v>
      </c>
      <c r="J46" s="1">
        <v>293.10000000000002</v>
      </c>
      <c r="K46" s="1">
        <v>22.92628479</v>
      </c>
      <c r="M46" s="1">
        <v>0.223279546338813</v>
      </c>
      <c r="N46" s="1">
        <v>302.89999999999998</v>
      </c>
      <c r="O46" s="1">
        <v>11.250021930000001</v>
      </c>
      <c r="Q46" s="1">
        <v>0.28510140043385002</v>
      </c>
      <c r="R46" s="1">
        <v>312.8</v>
      </c>
      <c r="S46" s="1">
        <v>13.57540607</v>
      </c>
      <c r="U46" s="1">
        <v>0.75823907437425897</v>
      </c>
      <c r="V46" s="1">
        <v>322.89999999999998</v>
      </c>
      <c r="W46" s="1">
        <v>29.8695488</v>
      </c>
      <c r="AC46" s="1">
        <v>1.2475522612993599</v>
      </c>
      <c r="AD46" s="1">
        <v>363</v>
      </c>
      <c r="AE46" s="1">
        <v>90.556114199999996</v>
      </c>
    </row>
    <row r="47" spans="1:31" x14ac:dyDescent="0.3">
      <c r="A47" s="1">
        <v>0.50988852965171705</v>
      </c>
      <c r="B47" s="1">
        <v>273.39999999999998</v>
      </c>
      <c r="C47" s="1">
        <v>6.1937999699999997</v>
      </c>
      <c r="E47" s="1">
        <v>0.33603046683915599</v>
      </c>
      <c r="F47" s="1">
        <v>283.5</v>
      </c>
      <c r="G47" s="1">
        <v>7.41165495</v>
      </c>
      <c r="I47" s="1">
        <v>1.55838034218417</v>
      </c>
      <c r="J47" s="1">
        <v>293.10000000000002</v>
      </c>
      <c r="K47" s="1">
        <v>23.738687519999999</v>
      </c>
      <c r="M47" s="1">
        <v>0.228577703125905</v>
      </c>
      <c r="N47" s="1">
        <v>302.89999999999998</v>
      </c>
      <c r="O47" s="1">
        <v>11.50328159</v>
      </c>
      <c r="Q47" s="1">
        <v>0.29049703356298501</v>
      </c>
      <c r="R47" s="1">
        <v>312.8</v>
      </c>
      <c r="S47" s="1">
        <v>13.94707298</v>
      </c>
      <c r="U47" s="1">
        <v>0.79392524760109395</v>
      </c>
      <c r="V47" s="1">
        <v>322.89999999999998</v>
      </c>
      <c r="W47" s="1">
        <v>30.310285570000001</v>
      </c>
    </row>
    <row r="48" spans="1:31" x14ac:dyDescent="0.3">
      <c r="A48" s="1">
        <v>0.52633466309794996</v>
      </c>
      <c r="B48" s="1">
        <v>273.39999999999998</v>
      </c>
      <c r="C48" s="1">
        <v>6.2763834000000003</v>
      </c>
      <c r="E48" s="1">
        <v>0.35287772972596698</v>
      </c>
      <c r="F48" s="1">
        <v>283.5</v>
      </c>
      <c r="G48" s="1">
        <v>7.5925545699999999</v>
      </c>
      <c r="I48" s="1">
        <v>1.5644190265337099</v>
      </c>
      <c r="J48" s="1">
        <v>293.10000000000002</v>
      </c>
      <c r="K48" s="1">
        <v>24.455709460000001</v>
      </c>
      <c r="M48" s="1">
        <v>0.23362022658515799</v>
      </c>
      <c r="N48" s="1">
        <v>302.89999999999998</v>
      </c>
      <c r="O48" s="1">
        <v>11.690759659999999</v>
      </c>
      <c r="Q48" s="1">
        <v>0.29752378864130402</v>
      </c>
      <c r="R48" s="1">
        <v>312.8</v>
      </c>
      <c r="S48" s="1">
        <v>14.16086292</v>
      </c>
      <c r="U48" s="1">
        <v>0.83065718789481602</v>
      </c>
      <c r="V48" s="1">
        <v>322.89999999999998</v>
      </c>
      <c r="W48" s="1">
        <v>30.73786926</v>
      </c>
    </row>
    <row r="49" spans="1:23" x14ac:dyDescent="0.3">
      <c r="A49" s="1">
        <v>0.54427574019413905</v>
      </c>
      <c r="B49" s="1">
        <v>273.39999999999998</v>
      </c>
      <c r="C49" s="1">
        <v>6.3534622199999999</v>
      </c>
      <c r="E49" s="1">
        <v>0.36944635490817801</v>
      </c>
      <c r="F49" s="1">
        <v>283.5</v>
      </c>
      <c r="G49" s="1">
        <v>7.7471423100000001</v>
      </c>
      <c r="I49" s="1">
        <v>1.57011229796851</v>
      </c>
      <c r="J49" s="1">
        <v>293.10000000000002</v>
      </c>
      <c r="K49" s="1">
        <v>25.202331539999999</v>
      </c>
      <c r="M49" s="1">
        <v>0.24163515968864299</v>
      </c>
      <c r="N49" s="1">
        <v>302.89999999999998</v>
      </c>
      <c r="O49" s="1">
        <v>12.003221509999999</v>
      </c>
      <c r="Q49" s="1">
        <v>0.300196883059063</v>
      </c>
      <c r="R49" s="1">
        <v>312.8</v>
      </c>
      <c r="S49" s="1">
        <v>14.42727947</v>
      </c>
      <c r="U49" s="1">
        <v>0.866355598039666</v>
      </c>
      <c r="V49" s="1">
        <v>322.89999999999998</v>
      </c>
      <c r="W49" s="1">
        <v>31.106246949999999</v>
      </c>
    </row>
    <row r="50" spans="1:23" x14ac:dyDescent="0.3">
      <c r="A50" s="1">
        <v>0.55921557038042402</v>
      </c>
      <c r="B50" s="1">
        <v>273.39999999999998</v>
      </c>
      <c r="C50" s="1">
        <v>6.4415578800000004</v>
      </c>
      <c r="E50" s="1">
        <v>0.38770017444459098</v>
      </c>
      <c r="F50" s="1">
        <v>283.5</v>
      </c>
      <c r="G50" s="1">
        <v>7.8852839499999998</v>
      </c>
      <c r="I50" s="1">
        <v>1.5746747205595</v>
      </c>
      <c r="J50" s="1">
        <v>293.10000000000002</v>
      </c>
      <c r="K50" s="1">
        <v>25.95553589</v>
      </c>
      <c r="M50" s="1">
        <v>0.24680346762533001</v>
      </c>
      <c r="N50" s="1">
        <v>302.89999999999998</v>
      </c>
      <c r="O50" s="1">
        <v>12.22030258</v>
      </c>
      <c r="Q50" s="1">
        <v>0.30559673007037103</v>
      </c>
      <c r="R50" s="1">
        <v>312.8</v>
      </c>
      <c r="S50" s="1">
        <v>14.75290012</v>
      </c>
      <c r="U50" s="1">
        <v>0.90169439362107995</v>
      </c>
      <c r="V50" s="1">
        <v>322.89999999999998</v>
      </c>
      <c r="W50" s="1">
        <v>31.510805130000001</v>
      </c>
    </row>
    <row r="51" spans="1:23" x14ac:dyDescent="0.3">
      <c r="A51" s="1">
        <v>0.57638326851322697</v>
      </c>
      <c r="B51" s="1">
        <v>273.39999999999998</v>
      </c>
      <c r="C51" s="1">
        <v>6.5186290700000002</v>
      </c>
      <c r="E51" s="1">
        <v>0.40872518685060899</v>
      </c>
      <c r="F51" s="1">
        <v>283.5</v>
      </c>
      <c r="G51" s="1">
        <v>8.0234260600000002</v>
      </c>
      <c r="I51" s="1">
        <v>1.5796896887762399</v>
      </c>
      <c r="J51" s="1">
        <v>293.10000000000002</v>
      </c>
      <c r="K51" s="1">
        <v>26.715312959999999</v>
      </c>
      <c r="M51" s="1">
        <v>0.25528025291466599</v>
      </c>
      <c r="N51" s="1">
        <v>302.89999999999998</v>
      </c>
      <c r="O51" s="1">
        <v>12.51631927</v>
      </c>
      <c r="Q51" s="1">
        <v>0.311259581657858</v>
      </c>
      <c r="R51" s="1">
        <v>312.8</v>
      </c>
      <c r="S51" s="1">
        <v>15.01273823</v>
      </c>
      <c r="U51" s="1">
        <v>0.93749591606135896</v>
      </c>
      <c r="V51" s="1">
        <v>322.89999999999998</v>
      </c>
      <c r="W51" s="1">
        <v>31.8923378</v>
      </c>
    </row>
    <row r="52" spans="1:23" x14ac:dyDescent="0.3">
      <c r="A52" s="1">
        <v>0.59452909473183402</v>
      </c>
      <c r="B52" s="1">
        <v>273.39999999999998</v>
      </c>
      <c r="C52" s="1">
        <v>6.5902032899999998</v>
      </c>
      <c r="E52" s="1">
        <v>0.425839286774925</v>
      </c>
      <c r="F52" s="1">
        <v>283.5</v>
      </c>
      <c r="G52" s="1">
        <v>8.1549892400000008</v>
      </c>
      <c r="I52" s="1">
        <v>1.5823069618801</v>
      </c>
      <c r="J52" s="1">
        <v>293.10000000000002</v>
      </c>
      <c r="K52" s="1">
        <v>27.468515400000001</v>
      </c>
      <c r="M52" s="1">
        <v>0.26437451086435199</v>
      </c>
      <c r="N52" s="1">
        <v>302.89999999999998</v>
      </c>
      <c r="O52" s="1">
        <v>12.80247116</v>
      </c>
      <c r="Q52" s="1">
        <v>0.31564490171919402</v>
      </c>
      <c r="R52" s="1">
        <v>312.8</v>
      </c>
      <c r="S52" s="1">
        <v>15.315333369999999</v>
      </c>
      <c r="U52" s="1">
        <v>0.97187830453639901</v>
      </c>
      <c r="V52" s="1">
        <v>322.89999999999998</v>
      </c>
      <c r="W52" s="1">
        <v>32.257427219999997</v>
      </c>
    </row>
    <row r="53" spans="1:23" x14ac:dyDescent="0.3">
      <c r="A53" s="1">
        <v>0.61146541289374201</v>
      </c>
      <c r="B53" s="1">
        <v>273.39999999999998</v>
      </c>
      <c r="C53" s="1">
        <v>6.6727867099999996</v>
      </c>
      <c r="E53" s="1">
        <v>0.44271998976638699</v>
      </c>
      <c r="F53" s="1">
        <v>283.5</v>
      </c>
      <c r="G53" s="1">
        <v>8.2536621100000005</v>
      </c>
      <c r="I53" s="1">
        <v>1.5879791034111601</v>
      </c>
      <c r="J53" s="1">
        <v>293.10000000000002</v>
      </c>
      <c r="K53" s="1">
        <v>28.267761230000001</v>
      </c>
      <c r="M53" s="1">
        <v>0.27109094669638101</v>
      </c>
      <c r="N53" s="1">
        <v>302.89999999999998</v>
      </c>
      <c r="O53" s="1">
        <v>13.009682659999999</v>
      </c>
      <c r="Q53" s="1">
        <v>0.32259407159651798</v>
      </c>
      <c r="R53" s="1">
        <v>312.8</v>
      </c>
      <c r="S53" s="1">
        <v>15.663977620000001</v>
      </c>
      <c r="U53" s="1">
        <v>1.0071914779354001</v>
      </c>
      <c r="V53" s="1">
        <v>322.89999999999998</v>
      </c>
      <c r="W53" s="1">
        <v>32.635673519999997</v>
      </c>
    </row>
    <row r="54" spans="1:23" x14ac:dyDescent="0.3">
      <c r="A54" s="1">
        <v>0.62960302369305599</v>
      </c>
      <c r="B54" s="1">
        <v>273.39999999999998</v>
      </c>
      <c r="C54" s="1">
        <v>6.7443609200000001</v>
      </c>
      <c r="E54" s="1">
        <v>0.46464646118750602</v>
      </c>
      <c r="F54" s="1">
        <v>283.5</v>
      </c>
      <c r="G54" s="1">
        <v>8.3687791800000007</v>
      </c>
      <c r="I54" s="1">
        <v>1.58996638403866</v>
      </c>
      <c r="J54" s="1">
        <v>293.10000000000002</v>
      </c>
      <c r="K54" s="1">
        <v>29.014385220000001</v>
      </c>
      <c r="M54" s="1">
        <v>0.27890294520245501</v>
      </c>
      <c r="N54" s="1">
        <v>302.89999999999998</v>
      </c>
      <c r="O54" s="1">
        <v>13.22347355</v>
      </c>
      <c r="Q54" s="1">
        <v>0.33071750174158399</v>
      </c>
      <c r="R54" s="1">
        <v>312.8</v>
      </c>
      <c r="S54" s="1">
        <v>15.996174809999999</v>
      </c>
      <c r="U54" s="1">
        <v>1.03629657562198</v>
      </c>
      <c r="V54" s="1">
        <v>322.89999999999998</v>
      </c>
      <c r="W54" s="1">
        <v>32.944847109999998</v>
      </c>
    </row>
    <row r="55" spans="1:23" x14ac:dyDescent="0.3">
      <c r="A55" s="1">
        <v>0.64901044282422504</v>
      </c>
      <c r="B55" s="1">
        <v>273.39999999999998</v>
      </c>
      <c r="C55" s="1">
        <v>6.8159356100000004</v>
      </c>
      <c r="E55" s="1">
        <v>0.48597947599498198</v>
      </c>
      <c r="F55" s="1">
        <v>283.5</v>
      </c>
      <c r="G55" s="1">
        <v>8.5167884800000007</v>
      </c>
      <c r="I55" s="1">
        <v>1.5930359567040899</v>
      </c>
      <c r="J55" s="1">
        <v>293.10000000000002</v>
      </c>
      <c r="K55" s="1">
        <v>29.793901439999999</v>
      </c>
      <c r="M55" s="1">
        <v>0.28411692164781199</v>
      </c>
      <c r="N55" s="1">
        <v>302.89999999999998</v>
      </c>
      <c r="O55" s="1">
        <v>13.34845924</v>
      </c>
      <c r="Q55" s="1">
        <v>0.33771326705398702</v>
      </c>
      <c r="R55" s="1">
        <v>312.8</v>
      </c>
      <c r="S55" s="1">
        <v>16.334951400000001</v>
      </c>
      <c r="U55" s="1">
        <v>1.0704168651035499</v>
      </c>
      <c r="V55" s="1">
        <v>322.89999999999998</v>
      </c>
      <c r="W55" s="1">
        <v>33.300067900000002</v>
      </c>
    </row>
    <row r="56" spans="1:23" x14ac:dyDescent="0.3">
      <c r="A56" s="1">
        <v>0.66581749372511401</v>
      </c>
      <c r="B56" s="1">
        <v>273.39999999999998</v>
      </c>
      <c r="C56" s="1">
        <v>6.88200521</v>
      </c>
      <c r="E56" s="1">
        <v>0.50469687584121004</v>
      </c>
      <c r="F56" s="1">
        <v>283.5</v>
      </c>
      <c r="G56" s="1">
        <v>8.6286172899999993</v>
      </c>
      <c r="I56" s="1">
        <v>1.59431031717909</v>
      </c>
      <c r="J56" s="1">
        <v>293.10000000000002</v>
      </c>
      <c r="K56" s="1">
        <v>30.56025696</v>
      </c>
      <c r="M56" s="1">
        <v>0.29445099971433603</v>
      </c>
      <c r="N56" s="1">
        <v>302.89999999999998</v>
      </c>
      <c r="O56" s="1">
        <v>13.59185123</v>
      </c>
      <c r="Q56" s="1">
        <v>0.34511363490811803</v>
      </c>
      <c r="R56" s="1">
        <v>312.8</v>
      </c>
      <c r="S56" s="1">
        <v>16.61452293</v>
      </c>
      <c r="U56" s="1">
        <v>1.1088378372777601</v>
      </c>
      <c r="V56" s="1">
        <v>322.89999999999998</v>
      </c>
      <c r="W56" s="1">
        <v>33.737518309999999</v>
      </c>
    </row>
    <row r="57" spans="1:23" x14ac:dyDescent="0.3">
      <c r="A57" s="1">
        <v>0.685982256516386</v>
      </c>
      <c r="B57" s="1">
        <v>273.39999999999998</v>
      </c>
      <c r="C57" s="1">
        <v>6.9535717999999997</v>
      </c>
      <c r="E57" s="1">
        <v>0.52646870090598297</v>
      </c>
      <c r="F57" s="1">
        <v>283.5</v>
      </c>
      <c r="G57" s="1">
        <v>8.73057938</v>
      </c>
      <c r="I57" s="1">
        <v>1.59566600341842</v>
      </c>
      <c r="J57" s="1">
        <v>293.10000000000002</v>
      </c>
      <c r="K57" s="1">
        <v>31.313457490000001</v>
      </c>
      <c r="M57" s="1">
        <v>0.30543048491268499</v>
      </c>
      <c r="N57" s="1">
        <v>302.89999999999998</v>
      </c>
      <c r="O57" s="1">
        <v>13.815509799999999</v>
      </c>
      <c r="Q57" s="1">
        <v>0.35108260049516199</v>
      </c>
      <c r="R57" s="1">
        <v>312.8</v>
      </c>
      <c r="S57" s="1">
        <v>16.917119979999999</v>
      </c>
      <c r="U57" s="1">
        <v>1.13913676863499</v>
      </c>
      <c r="V57" s="1">
        <v>322.89999999999998</v>
      </c>
      <c r="W57" s="1">
        <v>34.063137050000002</v>
      </c>
    </row>
    <row r="58" spans="1:23" x14ac:dyDescent="0.3">
      <c r="A58" s="1">
        <v>0.706859617415037</v>
      </c>
      <c r="B58" s="1">
        <v>273.39999999999998</v>
      </c>
      <c r="C58" s="1">
        <v>7.01964188</v>
      </c>
      <c r="E58" s="1">
        <v>0.54720133445722596</v>
      </c>
      <c r="F58" s="1">
        <v>283.5</v>
      </c>
      <c r="G58" s="1">
        <v>8.8424081799999996</v>
      </c>
      <c r="I58" s="1">
        <v>1.59566739813814</v>
      </c>
      <c r="J58" s="1">
        <v>293.10000000000002</v>
      </c>
      <c r="K58" s="1">
        <v>32.09626007</v>
      </c>
      <c r="M58" s="1">
        <v>0.31390011458504802</v>
      </c>
      <c r="N58" s="1">
        <v>302.89999999999998</v>
      </c>
      <c r="O58" s="1">
        <v>13.97338581</v>
      </c>
      <c r="Q58" s="1">
        <v>0.36006683368445103</v>
      </c>
      <c r="R58" s="1">
        <v>312.8</v>
      </c>
      <c r="S58" s="1">
        <v>17.216426850000001</v>
      </c>
      <c r="U58" s="1">
        <v>1.1695476005594101</v>
      </c>
      <c r="V58" s="1">
        <v>322.89999999999998</v>
      </c>
      <c r="W58" s="1">
        <v>34.444671630000002</v>
      </c>
    </row>
    <row r="59" spans="1:23" x14ac:dyDescent="0.3">
      <c r="A59" s="1">
        <v>0.725975931133373</v>
      </c>
      <c r="B59" s="1">
        <v>273.39999999999998</v>
      </c>
      <c r="C59" s="1">
        <v>7.0912079800000001</v>
      </c>
      <c r="E59" s="1">
        <v>0.57010966450761102</v>
      </c>
      <c r="F59" s="1">
        <v>283.5</v>
      </c>
      <c r="G59" s="1">
        <v>8.9673938799999995</v>
      </c>
      <c r="I59" s="1">
        <v>1.5966171931037001</v>
      </c>
      <c r="J59" s="1">
        <v>293.10000000000002</v>
      </c>
      <c r="K59" s="1">
        <v>32.862617489999998</v>
      </c>
      <c r="M59" s="1">
        <v>0.32673055925396899</v>
      </c>
      <c r="N59" s="1">
        <v>302.89999999999998</v>
      </c>
      <c r="O59" s="1">
        <v>14.1871767</v>
      </c>
      <c r="Q59" s="1">
        <v>0.36899834763968598</v>
      </c>
      <c r="R59" s="1">
        <v>312.8</v>
      </c>
      <c r="S59" s="1">
        <v>17.49599838</v>
      </c>
      <c r="U59" s="1">
        <v>1.1952751427752799</v>
      </c>
      <c r="V59" s="1">
        <v>322.89999999999998</v>
      </c>
      <c r="W59" s="1">
        <v>34.809761049999999</v>
      </c>
    </row>
    <row r="60" spans="1:23" x14ac:dyDescent="0.3">
      <c r="A60" s="1">
        <v>0.745843472656881</v>
      </c>
      <c r="B60" s="1">
        <v>273.39999999999998</v>
      </c>
      <c r="C60" s="1">
        <v>7.1627903000000002</v>
      </c>
      <c r="E60" s="1">
        <v>0.58955147853758605</v>
      </c>
      <c r="F60" s="1">
        <v>283.5</v>
      </c>
      <c r="G60" s="1">
        <v>9.0594882999999999</v>
      </c>
      <c r="I60" s="1">
        <v>1.60045477341844</v>
      </c>
      <c r="J60" s="1">
        <v>293.10000000000002</v>
      </c>
      <c r="K60" s="1">
        <v>33.625686649999999</v>
      </c>
      <c r="M60" s="1">
        <v>0.33921739828974001</v>
      </c>
      <c r="N60" s="1">
        <v>302.89999999999998</v>
      </c>
      <c r="O60" s="1">
        <v>14.37794399</v>
      </c>
      <c r="Q60" s="1">
        <v>0.37666120671177</v>
      </c>
      <c r="R60" s="1">
        <v>312.8</v>
      </c>
      <c r="S60" s="1">
        <v>17.762414929999998</v>
      </c>
      <c r="U60" s="1">
        <v>1.2197847985760399</v>
      </c>
      <c r="V60" s="1">
        <v>322.89999999999998</v>
      </c>
      <c r="W60" s="1">
        <v>35.197872160000003</v>
      </c>
    </row>
    <row r="61" spans="1:23" x14ac:dyDescent="0.3">
      <c r="A61" s="1">
        <v>0.76198190916244501</v>
      </c>
      <c r="B61" s="1">
        <v>273.39999999999998</v>
      </c>
      <c r="C61" s="1">
        <v>7.2123389199999997</v>
      </c>
      <c r="E61" s="1">
        <v>0.61127190936727005</v>
      </c>
      <c r="F61" s="1">
        <v>283.5</v>
      </c>
      <c r="G61" s="1">
        <v>9.1482934999999994</v>
      </c>
      <c r="I61" s="1">
        <v>1.6002051422125001</v>
      </c>
      <c r="J61" s="1">
        <v>293.10000000000002</v>
      </c>
      <c r="K61" s="1">
        <v>34.063137050000002</v>
      </c>
      <c r="M61" s="1">
        <v>0.35253112184740898</v>
      </c>
      <c r="N61" s="1">
        <v>302.89999999999998</v>
      </c>
      <c r="O61" s="1">
        <v>14.578578</v>
      </c>
      <c r="Q61" s="1">
        <v>0.384581223891308</v>
      </c>
      <c r="R61" s="1">
        <v>312.8</v>
      </c>
      <c r="S61" s="1">
        <v>18.071588519999999</v>
      </c>
      <c r="U61" s="1">
        <v>1.24523609058078</v>
      </c>
      <c r="V61" s="1">
        <v>322.89999999999998</v>
      </c>
      <c r="W61" s="1">
        <v>35.599140169999998</v>
      </c>
    </row>
    <row r="62" spans="1:23" x14ac:dyDescent="0.3">
      <c r="A62" s="1">
        <v>0.780221870133046</v>
      </c>
      <c r="B62" s="1">
        <v>273.39999999999998</v>
      </c>
      <c r="C62" s="1">
        <v>7.2728962900000003</v>
      </c>
      <c r="E62" s="1">
        <v>0.63374298156782705</v>
      </c>
      <c r="F62" s="1">
        <v>283.5</v>
      </c>
      <c r="G62" s="1">
        <v>9.2601223000000008</v>
      </c>
      <c r="I62" s="1">
        <v>1.6025136015621</v>
      </c>
      <c r="J62" s="1">
        <v>293.10000000000002</v>
      </c>
      <c r="K62" s="1">
        <v>34.665039059999998</v>
      </c>
      <c r="M62" s="1">
        <v>0.36449392702508099</v>
      </c>
      <c r="N62" s="1">
        <v>302.89999999999998</v>
      </c>
      <c r="O62" s="1">
        <v>14.746321679999999</v>
      </c>
      <c r="Q62" s="1">
        <v>0.39459013328075199</v>
      </c>
      <c r="R62" s="1">
        <v>312.8</v>
      </c>
      <c r="S62" s="1">
        <v>18.367607119999999</v>
      </c>
      <c r="U62" s="1">
        <v>1.2709060563892101</v>
      </c>
      <c r="V62" s="1">
        <v>322.89999999999998</v>
      </c>
      <c r="W62" s="1">
        <v>36.010276789999999</v>
      </c>
    </row>
    <row r="63" spans="1:23" x14ac:dyDescent="0.3">
      <c r="A63" s="1">
        <v>0.80044886789630298</v>
      </c>
      <c r="B63" s="1">
        <v>273.39999999999998</v>
      </c>
      <c r="C63" s="1">
        <v>7.3279571499999996</v>
      </c>
      <c r="E63" s="1">
        <v>0.65376723635688605</v>
      </c>
      <c r="F63" s="1">
        <v>283.5</v>
      </c>
      <c r="G63" s="1">
        <v>9.3555059400000005</v>
      </c>
      <c r="I63" s="1">
        <v>1.6020947771575</v>
      </c>
      <c r="J63" s="1">
        <v>293.10000000000002</v>
      </c>
      <c r="K63" s="1">
        <v>35.339302060000001</v>
      </c>
      <c r="M63" s="1">
        <v>0.37996989072776499</v>
      </c>
      <c r="N63" s="1">
        <v>302.89999999999998</v>
      </c>
      <c r="O63" s="1">
        <v>14.96011257</v>
      </c>
      <c r="Q63" s="1">
        <v>0.40606956600078498</v>
      </c>
      <c r="R63" s="1">
        <v>312.8</v>
      </c>
      <c r="S63" s="1">
        <v>18.60442162</v>
      </c>
      <c r="U63" s="1">
        <v>1.2975524362408699</v>
      </c>
      <c r="V63" s="1">
        <v>322.89999999999998</v>
      </c>
      <c r="W63" s="1">
        <v>36.497062679999999</v>
      </c>
    </row>
    <row r="64" spans="1:23" x14ac:dyDescent="0.3">
      <c r="A64" s="1">
        <v>0.82142751288628002</v>
      </c>
      <c r="B64" s="1">
        <v>273.39999999999998</v>
      </c>
      <c r="C64" s="1">
        <v>7.3830103899999999</v>
      </c>
      <c r="E64" s="1">
        <v>0.67043187954216399</v>
      </c>
      <c r="F64" s="1">
        <v>283.5</v>
      </c>
      <c r="G64" s="1">
        <v>9.4212875399999998</v>
      </c>
      <c r="I64" s="1">
        <v>1.6047368905968</v>
      </c>
      <c r="J64" s="1">
        <v>293.10000000000002</v>
      </c>
      <c r="K64" s="1">
        <v>35.957649230000001</v>
      </c>
      <c r="M64" s="1">
        <v>0.393015693419551</v>
      </c>
      <c r="N64" s="1">
        <v>302.89999999999998</v>
      </c>
      <c r="O64" s="1">
        <v>15.12456703</v>
      </c>
      <c r="Q64" s="1">
        <v>0.41735139179208203</v>
      </c>
      <c r="R64" s="1">
        <v>312.8</v>
      </c>
      <c r="S64" s="1">
        <v>18.834657669999999</v>
      </c>
      <c r="U64" s="1">
        <v>1.3203384016848201</v>
      </c>
      <c r="V64" s="1">
        <v>322.89999999999998</v>
      </c>
      <c r="W64" s="1">
        <v>36.927932740000003</v>
      </c>
    </row>
    <row r="65" spans="1:23" x14ac:dyDescent="0.3">
      <c r="A65" s="1">
        <v>0.84243101387859798</v>
      </c>
      <c r="B65" s="1">
        <v>273.39999999999998</v>
      </c>
      <c r="C65" s="1">
        <v>7.4435677499999997</v>
      </c>
      <c r="E65" s="1">
        <v>0.69572566731791996</v>
      </c>
      <c r="F65" s="1">
        <v>283.5</v>
      </c>
      <c r="G65" s="1">
        <v>9.5133829100000007</v>
      </c>
      <c r="I65" s="1">
        <v>1.6050999144660001</v>
      </c>
      <c r="J65" s="1">
        <v>293.10000000000002</v>
      </c>
      <c r="K65" s="1">
        <v>36.789791110000003</v>
      </c>
      <c r="M65" s="1">
        <v>0.40520346529103801</v>
      </c>
      <c r="N65" s="1">
        <v>302.89999999999998</v>
      </c>
      <c r="O65" s="1">
        <v>15.272575379999999</v>
      </c>
      <c r="Q65" s="1">
        <v>0.42783202857747099</v>
      </c>
      <c r="R65" s="1">
        <v>312.8</v>
      </c>
      <c r="S65" s="1">
        <v>18.976087570000001</v>
      </c>
      <c r="U65" s="1">
        <v>1.34248972117077</v>
      </c>
      <c r="V65" s="1">
        <v>322.89999999999998</v>
      </c>
      <c r="W65" s="1">
        <v>37.381828310000003</v>
      </c>
    </row>
    <row r="66" spans="1:23" x14ac:dyDescent="0.3">
      <c r="A66" s="1">
        <v>0.86037661388817299</v>
      </c>
      <c r="B66" s="1">
        <v>273.39999999999998</v>
      </c>
      <c r="C66" s="1">
        <v>7.5041332199999999</v>
      </c>
      <c r="E66" s="1">
        <v>0.71566456688470903</v>
      </c>
      <c r="F66" s="1">
        <v>283.5</v>
      </c>
      <c r="G66" s="1">
        <v>9.6186332700000001</v>
      </c>
      <c r="I66" s="1">
        <v>1.60810579808272</v>
      </c>
      <c r="J66" s="1">
        <v>293.10000000000002</v>
      </c>
      <c r="K66" s="1">
        <v>37.414718630000003</v>
      </c>
      <c r="M66" s="1">
        <v>0.41896561781059199</v>
      </c>
      <c r="N66" s="1">
        <v>302.89999999999998</v>
      </c>
      <c r="O66" s="1">
        <v>15.43374157</v>
      </c>
      <c r="Q66" s="1">
        <v>0.43523068387922398</v>
      </c>
      <c r="R66" s="1">
        <v>312.8</v>
      </c>
      <c r="S66" s="1">
        <v>19.18001366</v>
      </c>
      <c r="U66" s="1">
        <v>1.36490776771068</v>
      </c>
      <c r="V66" s="1">
        <v>322.89999999999998</v>
      </c>
      <c r="W66" s="1">
        <v>37.91794968</v>
      </c>
    </row>
    <row r="67" spans="1:23" x14ac:dyDescent="0.3">
      <c r="A67" s="1">
        <v>0.87951777153232402</v>
      </c>
      <c r="B67" s="1">
        <v>273.39999999999998</v>
      </c>
      <c r="C67" s="1">
        <v>7.5536894800000001</v>
      </c>
      <c r="E67" s="1">
        <v>0.73629061201708801</v>
      </c>
      <c r="F67" s="1">
        <v>283.5</v>
      </c>
      <c r="G67" s="1">
        <v>9.7041492500000004</v>
      </c>
      <c r="I67" s="1">
        <v>1.6086031200456601</v>
      </c>
      <c r="J67" s="1">
        <v>293.10000000000002</v>
      </c>
      <c r="K67" s="1">
        <v>38.138317110000003</v>
      </c>
      <c r="M67" s="1">
        <v>0.43458595228888902</v>
      </c>
      <c r="N67" s="1">
        <v>302.89999999999998</v>
      </c>
      <c r="O67" s="1">
        <v>15.594906809999999</v>
      </c>
      <c r="Q67" s="1">
        <v>0.44579890909172698</v>
      </c>
      <c r="R67" s="1">
        <v>312.8</v>
      </c>
      <c r="S67" s="1">
        <v>19.370779039999999</v>
      </c>
      <c r="U67" s="1">
        <v>1.3831993504628901</v>
      </c>
      <c r="V67" s="1">
        <v>322.89999999999998</v>
      </c>
      <c r="W67" s="1">
        <v>38.408023829999998</v>
      </c>
    </row>
    <row r="68" spans="1:23" x14ac:dyDescent="0.3">
      <c r="A68" s="1">
        <v>0.90021594644596103</v>
      </c>
      <c r="B68" s="1">
        <v>273.39999999999998</v>
      </c>
      <c r="C68" s="1">
        <v>7.6087422399999998</v>
      </c>
      <c r="E68" s="1">
        <v>0.76003484803739296</v>
      </c>
      <c r="F68" s="1">
        <v>283.5</v>
      </c>
      <c r="G68" s="1">
        <v>9.7896661799999993</v>
      </c>
      <c r="I68" s="1">
        <v>1.60801330493975</v>
      </c>
      <c r="J68" s="1">
        <v>293.10000000000002</v>
      </c>
      <c r="K68" s="1">
        <v>38.94743347</v>
      </c>
      <c r="M68" s="1">
        <v>0.45031842411384099</v>
      </c>
      <c r="N68" s="1">
        <v>302.89999999999998</v>
      </c>
      <c r="O68" s="1">
        <v>15.749493599999999</v>
      </c>
      <c r="Q68" s="1">
        <v>0.45450567015164001</v>
      </c>
      <c r="R68" s="1">
        <v>312.8</v>
      </c>
      <c r="S68" s="1">
        <v>19.495765689999999</v>
      </c>
      <c r="U68" s="1">
        <v>1.3995532015791801</v>
      </c>
      <c r="V68" s="1">
        <v>322.89999999999998</v>
      </c>
      <c r="W68" s="1">
        <v>38.894805910000002</v>
      </c>
    </row>
    <row r="69" spans="1:23" x14ac:dyDescent="0.3">
      <c r="A69" s="1">
        <v>0.92043719969628701</v>
      </c>
      <c r="B69" s="1">
        <v>273.39999999999998</v>
      </c>
      <c r="C69" s="1">
        <v>7.6692996000000004</v>
      </c>
      <c r="E69" s="1">
        <v>0.77895456989455003</v>
      </c>
      <c r="F69" s="1">
        <v>283.5</v>
      </c>
      <c r="G69" s="1">
        <v>9.8587369900000006</v>
      </c>
      <c r="I69" s="1">
        <v>1.6104682650842399</v>
      </c>
      <c r="J69" s="1">
        <v>293.10000000000002</v>
      </c>
      <c r="K69" s="1">
        <v>39.555912020000001</v>
      </c>
      <c r="M69" s="1">
        <v>0.46648047969058598</v>
      </c>
      <c r="N69" s="1">
        <v>302.89999999999998</v>
      </c>
      <c r="O69" s="1">
        <v>15.91723728</v>
      </c>
      <c r="Q69" s="1">
        <v>0.46196545314332998</v>
      </c>
      <c r="R69" s="1">
        <v>312.8</v>
      </c>
      <c r="S69" s="1">
        <v>19.699687959999999</v>
      </c>
      <c r="U69" s="1">
        <v>1.41260801429548</v>
      </c>
      <c r="V69" s="1">
        <v>322.89999999999998</v>
      </c>
      <c r="W69" s="1">
        <v>39.447372440000002</v>
      </c>
    </row>
    <row r="70" spans="1:23" x14ac:dyDescent="0.3">
      <c r="A70" s="1">
        <v>0.93956429104573902</v>
      </c>
      <c r="B70" s="1">
        <v>273.39999999999998</v>
      </c>
      <c r="C70" s="1">
        <v>7.7188482299999999</v>
      </c>
      <c r="E70" s="1">
        <v>0.80043891069536399</v>
      </c>
      <c r="F70" s="1">
        <v>283.5</v>
      </c>
      <c r="G70" s="1">
        <v>9.9541206399999993</v>
      </c>
      <c r="I70" s="1">
        <v>1.61272558640872</v>
      </c>
      <c r="J70" s="1">
        <v>293.10000000000002</v>
      </c>
      <c r="K70" s="1">
        <v>40.197284699999997</v>
      </c>
      <c r="M70" s="1">
        <v>0.48253943309181602</v>
      </c>
      <c r="N70" s="1">
        <v>302.89999999999998</v>
      </c>
      <c r="O70" s="1">
        <v>16.06524658</v>
      </c>
      <c r="Q70" s="1">
        <v>0.47228954922863298</v>
      </c>
      <c r="R70" s="1">
        <v>312.8</v>
      </c>
      <c r="S70" s="1">
        <v>19.883876799999999</v>
      </c>
      <c r="U70" s="1">
        <v>1.4260967119257699</v>
      </c>
      <c r="V70" s="1">
        <v>322.89999999999998</v>
      </c>
      <c r="W70" s="1">
        <v>39.953891749999997</v>
      </c>
    </row>
    <row r="71" spans="1:23" x14ac:dyDescent="0.3">
      <c r="A71" s="1">
        <v>0.96024090344889701</v>
      </c>
      <c r="B71" s="1">
        <v>273.39999999999998</v>
      </c>
      <c r="C71" s="1">
        <v>7.7739090900000001</v>
      </c>
      <c r="E71" s="1">
        <v>0.82005955233403505</v>
      </c>
      <c r="F71" s="1">
        <v>283.5</v>
      </c>
      <c r="G71" s="1">
        <v>10.02976894</v>
      </c>
      <c r="M71" s="1">
        <v>0.49892129658962697</v>
      </c>
      <c r="N71" s="1">
        <v>302.89999999999998</v>
      </c>
      <c r="O71" s="1">
        <v>16.226411819999999</v>
      </c>
      <c r="Q71" s="1">
        <v>0.48257945748924003</v>
      </c>
      <c r="R71" s="1">
        <v>312.8</v>
      </c>
      <c r="S71" s="1">
        <v>20.071355820000001</v>
      </c>
      <c r="U71" s="1">
        <v>1.4376704526666999</v>
      </c>
      <c r="V71" s="1">
        <v>322.89999999999998</v>
      </c>
      <c r="W71" s="1">
        <v>40.473567959999997</v>
      </c>
    </row>
    <row r="72" spans="1:23" x14ac:dyDescent="0.3">
      <c r="A72" s="1">
        <v>0.980002536563087</v>
      </c>
      <c r="B72" s="1">
        <v>273.39999999999998</v>
      </c>
      <c r="C72" s="1">
        <v>7.8454756699999999</v>
      </c>
      <c r="E72" s="1">
        <v>0.84343484570067395</v>
      </c>
      <c r="F72" s="1">
        <v>283.5</v>
      </c>
      <c r="G72" s="1">
        <v>10.098839760000001</v>
      </c>
      <c r="M72" s="1">
        <v>0.512120075836344</v>
      </c>
      <c r="N72" s="1">
        <v>302.89999999999998</v>
      </c>
      <c r="O72" s="1">
        <v>16.344818119999999</v>
      </c>
      <c r="Q72" s="1">
        <v>0.494206095497426</v>
      </c>
      <c r="R72" s="1">
        <v>312.8</v>
      </c>
      <c r="S72" s="1">
        <v>20.239099499999998</v>
      </c>
      <c r="U72" s="1">
        <v>1.4473189183852699</v>
      </c>
      <c r="V72" s="1">
        <v>322.89999999999998</v>
      </c>
      <c r="W72" s="1">
        <v>40.993244169999997</v>
      </c>
    </row>
    <row r="73" spans="1:23" x14ac:dyDescent="0.3">
      <c r="A73" s="1">
        <v>1.00170166981125</v>
      </c>
      <c r="B73" s="1">
        <v>273.39999999999998</v>
      </c>
      <c r="C73" s="1">
        <v>7.9060411500000001</v>
      </c>
      <c r="E73" s="1">
        <v>0.86673689354662198</v>
      </c>
      <c r="F73" s="1">
        <v>283.5</v>
      </c>
      <c r="G73" s="1">
        <v>10.181066510000001</v>
      </c>
      <c r="M73" s="1">
        <v>0.52677523421586803</v>
      </c>
      <c r="N73" s="1">
        <v>302.89999999999998</v>
      </c>
      <c r="O73" s="1">
        <v>16.476383210000002</v>
      </c>
      <c r="Q73" s="1">
        <v>0.50610373970142197</v>
      </c>
      <c r="R73" s="1">
        <v>312.8</v>
      </c>
      <c r="S73" s="1">
        <v>20.45617867</v>
      </c>
      <c r="U73" s="1">
        <v>1.4563068724289101</v>
      </c>
      <c r="V73" s="1">
        <v>322.89999999999998</v>
      </c>
      <c r="W73" s="1">
        <v>41.499763489999999</v>
      </c>
    </row>
    <row r="74" spans="1:23" x14ac:dyDescent="0.3">
      <c r="A74" s="1">
        <v>1.02012982788051</v>
      </c>
      <c r="B74" s="1">
        <v>273.39999999999998</v>
      </c>
      <c r="C74" s="1">
        <v>7.9721107499999997</v>
      </c>
      <c r="E74" s="1">
        <v>0.88722517281051405</v>
      </c>
      <c r="F74" s="1">
        <v>283.5</v>
      </c>
      <c r="G74" s="1">
        <v>10.26658344</v>
      </c>
      <c r="M74" s="1">
        <v>0.54375602076762097</v>
      </c>
      <c r="N74" s="1">
        <v>302.89999999999998</v>
      </c>
      <c r="O74" s="1">
        <v>16.61452293</v>
      </c>
      <c r="Q74" s="1">
        <v>0.52008779364693403</v>
      </c>
      <c r="R74" s="1">
        <v>312.8</v>
      </c>
      <c r="S74" s="1">
        <v>20.597610469999999</v>
      </c>
      <c r="U74" s="1">
        <v>1.4640983425359599</v>
      </c>
      <c r="V74" s="1">
        <v>322.89999999999998</v>
      </c>
      <c r="W74" s="1">
        <v>42.035888669999999</v>
      </c>
    </row>
    <row r="75" spans="1:23" x14ac:dyDescent="0.3">
      <c r="A75" s="1">
        <v>1.0410433132303401</v>
      </c>
      <c r="B75" s="1">
        <v>273.39999999999998</v>
      </c>
      <c r="C75" s="1">
        <v>8.0326681099999995</v>
      </c>
      <c r="E75" s="1">
        <v>0.90363991272349498</v>
      </c>
      <c r="F75" s="1">
        <v>283.5</v>
      </c>
      <c r="G75" s="1">
        <v>10.31591892</v>
      </c>
      <c r="M75" s="1">
        <v>0.55984528727359495</v>
      </c>
      <c r="N75" s="1">
        <v>302.89999999999998</v>
      </c>
      <c r="O75" s="1">
        <v>16.752666470000001</v>
      </c>
      <c r="Q75" s="1">
        <v>0.53100618996725102</v>
      </c>
      <c r="R75" s="1">
        <v>312.8</v>
      </c>
      <c r="S75" s="1">
        <v>20.785085680000002</v>
      </c>
      <c r="U75" s="1">
        <v>1.4715416506887899</v>
      </c>
      <c r="V75" s="1">
        <v>322.89999999999998</v>
      </c>
      <c r="W75" s="1">
        <v>42.57200623</v>
      </c>
    </row>
    <row r="76" spans="1:23" x14ac:dyDescent="0.3">
      <c r="A76" s="1">
        <v>1.0613669892928099</v>
      </c>
      <c r="B76" s="1">
        <v>273.39999999999998</v>
      </c>
      <c r="C76" s="1">
        <v>8.0822248499999993</v>
      </c>
      <c r="E76" s="1">
        <v>0.92896066802841304</v>
      </c>
      <c r="F76" s="1">
        <v>283.5</v>
      </c>
      <c r="G76" s="1">
        <v>10.39156914</v>
      </c>
      <c r="M76" s="1">
        <v>0.57467660363110495</v>
      </c>
      <c r="N76" s="1">
        <v>302.89999999999998</v>
      </c>
      <c r="O76" s="1">
        <v>16.884227750000001</v>
      </c>
      <c r="Q76" s="1">
        <v>0.54371558760799499</v>
      </c>
      <c r="R76" s="1">
        <v>312.8</v>
      </c>
      <c r="S76" s="1">
        <v>20.903493879999999</v>
      </c>
      <c r="U76" s="1">
        <v>1.4789232254309701</v>
      </c>
      <c r="V76" s="1">
        <v>322.89999999999998</v>
      </c>
      <c r="W76" s="1">
        <v>43.137729640000003</v>
      </c>
    </row>
    <row r="77" spans="1:23" x14ac:dyDescent="0.3">
      <c r="A77" s="1">
        <v>1.0768802432839699</v>
      </c>
      <c r="B77" s="1">
        <v>273.39999999999998</v>
      </c>
      <c r="C77" s="1">
        <v>8.1703128800000009</v>
      </c>
      <c r="E77" s="1">
        <v>0.95225799063739403</v>
      </c>
      <c r="F77" s="1">
        <v>283.5</v>
      </c>
      <c r="G77" s="1">
        <v>10.48037529</v>
      </c>
      <c r="M77" s="1">
        <v>0.58987346225326698</v>
      </c>
      <c r="N77" s="1">
        <v>302.89999999999998</v>
      </c>
      <c r="O77" s="1">
        <v>17.01250267</v>
      </c>
      <c r="Q77" s="1">
        <v>0.55321156426886897</v>
      </c>
      <c r="R77" s="1">
        <v>312.8</v>
      </c>
      <c r="S77" s="1">
        <v>21.097549440000002</v>
      </c>
      <c r="U77" s="1">
        <v>1.48537647766776</v>
      </c>
      <c r="V77" s="1">
        <v>322.89999999999998</v>
      </c>
      <c r="W77" s="1">
        <v>43.716613770000002</v>
      </c>
    </row>
    <row r="78" spans="1:23" x14ac:dyDescent="0.3">
      <c r="A78" s="1">
        <v>1.1000663862294999</v>
      </c>
      <c r="B78" s="1">
        <v>273.39999999999998</v>
      </c>
      <c r="C78" s="1">
        <v>8.1978349700000006</v>
      </c>
      <c r="E78" s="1">
        <v>0.97014701974002104</v>
      </c>
      <c r="F78" s="1">
        <v>283.5</v>
      </c>
      <c r="G78" s="1">
        <v>10.5560236</v>
      </c>
      <c r="M78" s="1">
        <v>0.60430098175089997</v>
      </c>
      <c r="N78" s="1">
        <v>302.89999999999998</v>
      </c>
      <c r="O78" s="1">
        <v>17.13748932</v>
      </c>
      <c r="Q78" s="1">
        <v>0.56631519652001605</v>
      </c>
      <c r="R78" s="1">
        <v>312.8</v>
      </c>
      <c r="S78" s="1">
        <v>21.215957639999999</v>
      </c>
      <c r="U78" s="1">
        <v>1.48987208961357</v>
      </c>
      <c r="V78" s="1">
        <v>322.89999999999998</v>
      </c>
      <c r="W78" s="1">
        <v>44.265884399999997</v>
      </c>
    </row>
    <row r="79" spans="1:23" x14ac:dyDescent="0.3">
      <c r="A79" s="1">
        <v>1.1216242011250901</v>
      </c>
      <c r="B79" s="1">
        <v>273.39999999999998</v>
      </c>
      <c r="C79" s="1">
        <v>8.2473916999999997</v>
      </c>
      <c r="E79" s="1">
        <v>0.99266156931503002</v>
      </c>
      <c r="F79" s="1">
        <v>283.5</v>
      </c>
      <c r="G79" s="1">
        <v>10.621804239999999</v>
      </c>
      <c r="M79" s="1">
        <v>0.61629274930516398</v>
      </c>
      <c r="N79" s="1">
        <v>302.89999999999998</v>
      </c>
      <c r="O79" s="1">
        <v>17.229581830000001</v>
      </c>
      <c r="Q79" s="1">
        <v>0.57711779921197104</v>
      </c>
      <c r="R79" s="1">
        <v>312.8</v>
      </c>
      <c r="S79" s="1">
        <v>21.370546340000001</v>
      </c>
      <c r="U79" s="1">
        <v>1.4955856431790899</v>
      </c>
      <c r="V79" s="1">
        <v>322.89999999999998</v>
      </c>
      <c r="W79" s="1">
        <v>44.841476440000001</v>
      </c>
    </row>
    <row r="80" spans="1:23" x14ac:dyDescent="0.3">
      <c r="A80" s="1">
        <v>1.1427039949984801</v>
      </c>
      <c r="B80" s="1">
        <v>273.39999999999998</v>
      </c>
      <c r="C80" s="1">
        <v>8.3024444600000002</v>
      </c>
      <c r="E80" s="1">
        <v>1.0154147315680899</v>
      </c>
      <c r="F80" s="1">
        <v>283.5</v>
      </c>
      <c r="G80" s="1">
        <v>10.70074368</v>
      </c>
      <c r="M80" s="1">
        <v>0.62933709043625097</v>
      </c>
      <c r="N80" s="1">
        <v>302.89999999999998</v>
      </c>
      <c r="O80" s="1">
        <v>17.34470177</v>
      </c>
      <c r="Q80" s="1">
        <v>0.58910900194452598</v>
      </c>
      <c r="R80" s="1">
        <v>312.8</v>
      </c>
      <c r="S80" s="1">
        <v>21.544866559999999</v>
      </c>
      <c r="U80" s="1">
        <v>1.501496130327</v>
      </c>
      <c r="V80" s="1">
        <v>322.89999999999998</v>
      </c>
      <c r="W80" s="1">
        <v>45.407199859999999</v>
      </c>
    </row>
    <row r="81" spans="1:23" x14ac:dyDescent="0.3">
      <c r="A81" s="1">
        <v>1.1623342454968499</v>
      </c>
      <c r="B81" s="1">
        <v>273.39999999999998</v>
      </c>
      <c r="C81" s="1">
        <v>8.3685140600000008</v>
      </c>
      <c r="E81" s="1">
        <v>1.03841392225999</v>
      </c>
      <c r="F81" s="1">
        <v>283.5</v>
      </c>
      <c r="G81" s="1">
        <v>10.79612732</v>
      </c>
      <c r="M81" s="1">
        <v>0.64511837920355397</v>
      </c>
      <c r="N81" s="1">
        <v>302.89999999999998</v>
      </c>
      <c r="O81" s="1">
        <v>17.449951169999999</v>
      </c>
      <c r="Q81" s="1">
        <v>0.60243035263308597</v>
      </c>
      <c r="R81" s="1">
        <v>312.8</v>
      </c>
      <c r="S81" s="1">
        <v>21.738922120000002</v>
      </c>
      <c r="U81" s="1">
        <v>1.50559418680671</v>
      </c>
      <c r="V81" s="1">
        <v>322.89999999999998</v>
      </c>
      <c r="W81" s="1">
        <v>45.949901580000002</v>
      </c>
    </row>
    <row r="82" spans="1:23" x14ac:dyDescent="0.3">
      <c r="A82" s="1">
        <v>1.1838638793619001</v>
      </c>
      <c r="B82" s="1">
        <v>273.39999999999998</v>
      </c>
      <c r="C82" s="1">
        <v>8.4180631600000009</v>
      </c>
      <c r="E82" s="1">
        <v>1.0607101385031501</v>
      </c>
      <c r="F82" s="1">
        <v>283.5</v>
      </c>
      <c r="G82" s="1">
        <v>10.87177563</v>
      </c>
      <c r="M82" s="1">
        <v>0.66207825593460601</v>
      </c>
      <c r="N82" s="1">
        <v>302.89999999999998</v>
      </c>
      <c r="O82" s="1">
        <v>17.574937819999999</v>
      </c>
      <c r="Q82" s="1">
        <v>0.61662704552315095</v>
      </c>
      <c r="R82" s="1">
        <v>312.8</v>
      </c>
      <c r="S82" s="1">
        <v>21.883642200000001</v>
      </c>
      <c r="U82" s="1">
        <v>1.50895569971476</v>
      </c>
      <c r="V82" s="1">
        <v>322.89999999999998</v>
      </c>
      <c r="W82" s="1">
        <v>46.535354609999999</v>
      </c>
    </row>
    <row r="83" spans="1:23" x14ac:dyDescent="0.3">
      <c r="A83" s="1">
        <v>1.2039793191238199</v>
      </c>
      <c r="B83" s="1">
        <v>273.39999999999998</v>
      </c>
      <c r="C83" s="1">
        <v>8.4841327700000004</v>
      </c>
      <c r="E83" s="1">
        <v>1.08365259456998</v>
      </c>
      <c r="F83" s="1">
        <v>283.5</v>
      </c>
      <c r="G83" s="1">
        <v>10.947424890000001</v>
      </c>
      <c r="M83" s="1">
        <v>0.67840113348611597</v>
      </c>
      <c r="N83" s="1">
        <v>302.89999999999998</v>
      </c>
      <c r="O83" s="1">
        <v>17.696634289999999</v>
      </c>
      <c r="Q83" s="1">
        <v>0.62821851178959298</v>
      </c>
      <c r="R83" s="1">
        <v>312.8</v>
      </c>
      <c r="S83" s="1">
        <v>22.064542769999999</v>
      </c>
      <c r="U83" s="1">
        <v>1.5100982078109799</v>
      </c>
      <c r="V83" s="1">
        <v>322.89999999999998</v>
      </c>
      <c r="W83" s="1">
        <v>47.11752319</v>
      </c>
    </row>
    <row r="84" spans="1:23" x14ac:dyDescent="0.3">
      <c r="A84" s="1">
        <v>1.2225386480607201</v>
      </c>
      <c r="B84" s="1">
        <v>273.39999999999998</v>
      </c>
      <c r="C84" s="1">
        <v>8.5446901299999993</v>
      </c>
      <c r="E84" s="1">
        <v>1.1087108191591299</v>
      </c>
      <c r="F84" s="1">
        <v>283.5</v>
      </c>
      <c r="G84" s="1">
        <v>11.046096800000001</v>
      </c>
      <c r="M84" s="1">
        <v>0.69274555909876601</v>
      </c>
      <c r="N84" s="1">
        <v>302.89999999999998</v>
      </c>
      <c r="O84" s="1">
        <v>17.801883700000001</v>
      </c>
      <c r="Q84" s="1">
        <v>0.64204823117186405</v>
      </c>
      <c r="R84" s="1">
        <v>312.8</v>
      </c>
      <c r="S84" s="1">
        <v>22.219129559999999</v>
      </c>
      <c r="U84" s="1">
        <v>1.5110077222570399</v>
      </c>
      <c r="V84" s="1">
        <v>322.89999999999998</v>
      </c>
      <c r="W84" s="1">
        <v>47.679962160000002</v>
      </c>
    </row>
    <row r="85" spans="1:23" x14ac:dyDescent="0.3">
      <c r="A85" s="1">
        <v>1.24289518695896</v>
      </c>
      <c r="B85" s="1">
        <v>273.39999999999998</v>
      </c>
      <c r="C85" s="1">
        <v>8.6107597400000007</v>
      </c>
      <c r="E85" s="1">
        <v>1.1242464919786299</v>
      </c>
      <c r="F85" s="1">
        <v>283.5</v>
      </c>
      <c r="G85" s="1">
        <v>11.12174606</v>
      </c>
      <c r="M85" s="1">
        <v>0.706361524748641</v>
      </c>
      <c r="N85" s="1">
        <v>302.89999999999998</v>
      </c>
      <c r="O85" s="1">
        <v>17.89397812</v>
      </c>
      <c r="Q85" s="1">
        <v>0.65494072249083501</v>
      </c>
      <c r="R85" s="1">
        <v>312.8</v>
      </c>
      <c r="S85" s="1">
        <v>22.393451689999999</v>
      </c>
      <c r="U85" s="1">
        <v>1.5123859401623601</v>
      </c>
      <c r="V85" s="1">
        <v>322.89999999999998</v>
      </c>
      <c r="W85" s="1">
        <v>48.229240419999996</v>
      </c>
    </row>
    <row r="86" spans="1:23" x14ac:dyDescent="0.3">
      <c r="A86" s="1">
        <v>1.26194537003038</v>
      </c>
      <c r="B86" s="1">
        <v>273.39999999999998</v>
      </c>
      <c r="C86" s="1">
        <v>8.6713256800000007</v>
      </c>
      <c r="E86" s="1">
        <v>1.14164261569985</v>
      </c>
      <c r="F86" s="1">
        <v>283.5</v>
      </c>
      <c r="G86" s="1">
        <v>11.177660940000001</v>
      </c>
      <c r="M86" s="1">
        <v>0.72177078728080002</v>
      </c>
      <c r="N86" s="1">
        <v>302.89999999999998</v>
      </c>
      <c r="O86" s="1">
        <v>18.009098049999999</v>
      </c>
      <c r="Q86" s="1">
        <v>0.66930865754104696</v>
      </c>
      <c r="R86" s="1">
        <v>312.8</v>
      </c>
      <c r="S86" s="1">
        <v>22.528303149999999</v>
      </c>
      <c r="U86" s="1">
        <v>1.5126934480312699</v>
      </c>
      <c r="V86" s="1">
        <v>322.89999999999998</v>
      </c>
      <c r="W86" s="1">
        <v>48.778518679999998</v>
      </c>
    </row>
    <row r="87" spans="1:23" x14ac:dyDescent="0.3">
      <c r="A87" s="1">
        <v>1.28106272492159</v>
      </c>
      <c r="B87" s="1">
        <v>273.39999999999998</v>
      </c>
      <c r="C87" s="1">
        <v>8.7428922700000005</v>
      </c>
      <c r="E87" s="1">
        <v>1.1652541943824</v>
      </c>
      <c r="F87" s="1">
        <v>283.5</v>
      </c>
      <c r="G87" s="1">
        <v>11.246731759999999</v>
      </c>
      <c r="M87" s="1">
        <v>0.734263448755194</v>
      </c>
      <c r="N87" s="1">
        <v>302.89999999999998</v>
      </c>
      <c r="O87" s="1">
        <v>18.08474541</v>
      </c>
      <c r="Q87" s="1">
        <v>0.68274103111350104</v>
      </c>
      <c r="R87" s="1">
        <v>312.8</v>
      </c>
      <c r="S87" s="1">
        <v>22.59737587</v>
      </c>
      <c r="U87" s="1">
        <v>1.51308714848959</v>
      </c>
      <c r="V87" s="1">
        <v>322.89999999999998</v>
      </c>
      <c r="W87" s="1">
        <v>49.347526549999998</v>
      </c>
    </row>
    <row r="88" spans="1:23" x14ac:dyDescent="0.3">
      <c r="A88" s="1">
        <v>1.2999502490227</v>
      </c>
      <c r="B88" s="1">
        <v>273.39999999999998</v>
      </c>
      <c r="C88" s="1">
        <v>8.8199710800000002</v>
      </c>
      <c r="E88" s="1">
        <v>1.1887150522485701</v>
      </c>
      <c r="F88" s="1">
        <v>283.5</v>
      </c>
      <c r="G88" s="1">
        <v>11.35527229</v>
      </c>
      <c r="M88" s="1">
        <v>0.74967355884535003</v>
      </c>
      <c r="N88" s="1">
        <v>302.89999999999998</v>
      </c>
      <c r="O88" s="1">
        <v>18.186708450000001</v>
      </c>
      <c r="Q88" s="1">
        <v>0.69087694543893197</v>
      </c>
      <c r="R88" s="1">
        <v>312.8</v>
      </c>
      <c r="S88" s="1">
        <v>22.738805769999999</v>
      </c>
      <c r="U88" s="1">
        <v>1.51338020868433</v>
      </c>
      <c r="V88" s="1">
        <v>322.89999999999998</v>
      </c>
      <c r="W88" s="1">
        <v>49.903385159999999</v>
      </c>
    </row>
    <row r="89" spans="1:23" x14ac:dyDescent="0.3">
      <c r="A89" s="1">
        <v>1.3187905320359301</v>
      </c>
      <c r="B89" s="1">
        <v>273.39999999999998</v>
      </c>
      <c r="C89" s="1">
        <v>8.8915453000000007</v>
      </c>
      <c r="E89" s="1">
        <v>1.2103138590067899</v>
      </c>
      <c r="F89" s="1">
        <v>283.5</v>
      </c>
      <c r="G89" s="1">
        <v>11.44736576</v>
      </c>
      <c r="M89" s="1">
        <v>0.76578613911966797</v>
      </c>
      <c r="N89" s="1">
        <v>302.89999999999998</v>
      </c>
      <c r="O89" s="1">
        <v>18.29524803</v>
      </c>
      <c r="Q89" s="1">
        <v>0.70321729598522897</v>
      </c>
      <c r="R89" s="1">
        <v>312.8</v>
      </c>
      <c r="S89" s="1">
        <v>22.844055180000002</v>
      </c>
      <c r="U89" s="1">
        <v>1.5136010509876201</v>
      </c>
      <c r="V89" s="1">
        <v>322.89999999999998</v>
      </c>
      <c r="W89" s="1">
        <v>50.465820309999998</v>
      </c>
    </row>
    <row r="90" spans="1:23" x14ac:dyDescent="0.3">
      <c r="A90" s="1">
        <v>1.3351070469177699</v>
      </c>
      <c r="B90" s="1">
        <v>273.39999999999998</v>
      </c>
      <c r="C90" s="1">
        <v>8.9631195100000003</v>
      </c>
      <c r="E90" s="1">
        <v>1.2332245934924699</v>
      </c>
      <c r="F90" s="1">
        <v>283.5</v>
      </c>
      <c r="G90" s="1">
        <v>11.523015020000001</v>
      </c>
      <c r="M90" s="1">
        <v>0.77836581028790197</v>
      </c>
      <c r="N90" s="1">
        <v>302.89999999999998</v>
      </c>
      <c r="O90" s="1">
        <v>18.374185560000001</v>
      </c>
      <c r="Q90" s="1">
        <v>0.71372436061081002</v>
      </c>
      <c r="R90" s="1">
        <v>312.8</v>
      </c>
      <c r="S90" s="1">
        <v>22.988777160000001</v>
      </c>
      <c r="U90" s="1">
        <v>1.5129059068937301</v>
      </c>
      <c r="V90" s="1">
        <v>322.89999999999998</v>
      </c>
      <c r="W90" s="1">
        <v>51.028255459999997</v>
      </c>
    </row>
    <row r="91" spans="1:23" x14ac:dyDescent="0.3">
      <c r="A91" s="1">
        <v>1.35468252545983</v>
      </c>
      <c r="B91" s="1">
        <v>273.39999999999998</v>
      </c>
      <c r="C91" s="1">
        <v>9.0346937199999999</v>
      </c>
      <c r="E91" s="1">
        <v>1.25537909876083</v>
      </c>
      <c r="F91" s="1">
        <v>283.5</v>
      </c>
      <c r="G91" s="1">
        <v>11.62168789</v>
      </c>
      <c r="M91" s="1">
        <v>0.79053824676977302</v>
      </c>
      <c r="N91" s="1">
        <v>302.89999999999998</v>
      </c>
      <c r="O91" s="1">
        <v>18.459701540000001</v>
      </c>
      <c r="Q91" s="1">
        <v>0.72631656770942599</v>
      </c>
      <c r="R91" s="1">
        <v>312.8</v>
      </c>
      <c r="S91" s="1">
        <v>23.120340349999999</v>
      </c>
      <c r="U91" s="1">
        <v>1.5132329799328901</v>
      </c>
      <c r="V91" s="1">
        <v>322.89999999999998</v>
      </c>
      <c r="W91" s="1">
        <v>51.574241639999997</v>
      </c>
    </row>
    <row r="92" spans="1:23" x14ac:dyDescent="0.3">
      <c r="A92" s="1">
        <v>1.3722770625754299</v>
      </c>
      <c r="B92" s="1">
        <v>273.39999999999998</v>
      </c>
      <c r="C92" s="1">
        <v>9.1117649099999998</v>
      </c>
      <c r="E92" s="1">
        <v>1.2734697613336901</v>
      </c>
      <c r="F92" s="1">
        <v>283.5</v>
      </c>
      <c r="G92" s="1">
        <v>11.723649979999999</v>
      </c>
      <c r="M92" s="1">
        <v>0.80700711119117796</v>
      </c>
      <c r="N92" s="1">
        <v>302.89999999999998</v>
      </c>
      <c r="O92" s="1">
        <v>18.551797870000001</v>
      </c>
      <c r="Q92" s="1">
        <v>0.73963498708353803</v>
      </c>
      <c r="R92" s="1">
        <v>312.8</v>
      </c>
      <c r="S92" s="1">
        <v>23.301240920000001</v>
      </c>
      <c r="U92" s="1">
        <v>1.5128970544594</v>
      </c>
      <c r="V92" s="1">
        <v>322.89999999999998</v>
      </c>
      <c r="W92" s="1">
        <v>52.11036301</v>
      </c>
    </row>
    <row r="93" spans="1:23" x14ac:dyDescent="0.3">
      <c r="A93" s="1">
        <v>1.3891801352792501</v>
      </c>
      <c r="B93" s="1">
        <v>273.39999999999998</v>
      </c>
      <c r="C93" s="1">
        <v>9.1998605700000002</v>
      </c>
      <c r="E93" s="1">
        <v>1.29132108901519</v>
      </c>
      <c r="F93" s="1">
        <v>283.5</v>
      </c>
      <c r="G93" s="1">
        <v>11.796010020000001</v>
      </c>
      <c r="M93" s="1">
        <v>0.82171548982766396</v>
      </c>
      <c r="N93" s="1">
        <v>302.89999999999998</v>
      </c>
      <c r="O93" s="1">
        <v>18.653759000000001</v>
      </c>
      <c r="Q93" s="1">
        <v>0.75533876705535696</v>
      </c>
      <c r="R93" s="1">
        <v>312.8</v>
      </c>
      <c r="S93" s="1">
        <v>23.419647220000002</v>
      </c>
    </row>
    <row r="94" spans="1:23" x14ac:dyDescent="0.3">
      <c r="A94" s="1">
        <v>1.4063660558386899</v>
      </c>
      <c r="B94" s="1">
        <v>273.39999999999998</v>
      </c>
      <c r="C94" s="1">
        <v>9.29345322</v>
      </c>
      <c r="E94" s="1">
        <v>1.3123149989807701</v>
      </c>
      <c r="F94" s="1">
        <v>283.5</v>
      </c>
      <c r="G94" s="1">
        <v>11.88481522</v>
      </c>
      <c r="M94" s="1">
        <v>0.836561312434278</v>
      </c>
      <c r="N94" s="1">
        <v>302.89999999999998</v>
      </c>
      <c r="O94" s="1">
        <v>18.732696529999998</v>
      </c>
      <c r="Q94" s="1">
        <v>0.76874933306174498</v>
      </c>
      <c r="R94" s="1">
        <v>312.8</v>
      </c>
      <c r="S94" s="1">
        <v>23.55121231</v>
      </c>
    </row>
    <row r="95" spans="1:23" x14ac:dyDescent="0.3">
      <c r="A95" s="1">
        <v>1.4220039621744101</v>
      </c>
      <c r="B95" s="1">
        <v>273.39999999999998</v>
      </c>
      <c r="C95" s="1">
        <v>9.3815412499999997</v>
      </c>
      <c r="E95" s="1">
        <v>1.3329334575840099</v>
      </c>
      <c r="F95" s="1">
        <v>283.5</v>
      </c>
      <c r="G95" s="1">
        <v>12.003221509999999</v>
      </c>
      <c r="M95" s="1">
        <v>0.85309862809623305</v>
      </c>
      <c r="N95" s="1">
        <v>302.89999999999998</v>
      </c>
      <c r="O95" s="1">
        <v>18.8313694</v>
      </c>
      <c r="Q95" s="1">
        <v>0.78183580598666402</v>
      </c>
      <c r="R95" s="1">
        <v>312.8</v>
      </c>
      <c r="S95" s="1">
        <v>23.659749980000001</v>
      </c>
    </row>
    <row r="96" spans="1:23" x14ac:dyDescent="0.3">
      <c r="A96" s="1">
        <v>1.43778304596094</v>
      </c>
      <c r="B96" s="1">
        <v>273.39999999999998</v>
      </c>
      <c r="C96" s="1">
        <v>9.4531154599999994</v>
      </c>
      <c r="E96" s="1">
        <v>1.35029541768654</v>
      </c>
      <c r="F96" s="1">
        <v>283.5</v>
      </c>
      <c r="G96" s="1">
        <v>12.11505032</v>
      </c>
      <c r="M96" s="1">
        <v>0.86987003163424004</v>
      </c>
      <c r="N96" s="1">
        <v>302.89999999999998</v>
      </c>
      <c r="O96" s="1">
        <v>18.93333054</v>
      </c>
      <c r="Q96" s="1">
        <v>0.79459795831436397</v>
      </c>
      <c r="R96" s="1">
        <v>312.8</v>
      </c>
      <c r="S96" s="1">
        <v>23.80117989</v>
      </c>
    </row>
    <row r="97" spans="1:19" x14ac:dyDescent="0.3">
      <c r="A97" s="1">
        <v>1.4513018232360899</v>
      </c>
      <c r="B97" s="1">
        <v>273.39999999999998</v>
      </c>
      <c r="C97" s="1">
        <v>9.5632295599999999</v>
      </c>
      <c r="E97" s="1">
        <v>1.36790671714659</v>
      </c>
      <c r="F97" s="1">
        <v>283.5</v>
      </c>
      <c r="G97" s="1">
        <v>12.207145690000001</v>
      </c>
      <c r="M97" s="1">
        <v>0.88475591363373296</v>
      </c>
      <c r="N97" s="1">
        <v>302.89999999999998</v>
      </c>
      <c r="O97" s="1">
        <v>19.028713230000001</v>
      </c>
      <c r="Q97" s="1">
        <v>0.80899113100529996</v>
      </c>
      <c r="R97" s="1">
        <v>312.8</v>
      </c>
      <c r="S97" s="1">
        <v>23.90972137</v>
      </c>
    </row>
    <row r="98" spans="1:19" x14ac:dyDescent="0.3">
      <c r="A98" s="1">
        <v>1.4667804692915301</v>
      </c>
      <c r="B98" s="1">
        <v>273.39999999999998</v>
      </c>
      <c r="C98" s="1">
        <v>9.6678390499999995</v>
      </c>
      <c r="E98" s="1">
        <v>1.3860820116985599</v>
      </c>
      <c r="F98" s="1">
        <v>283.5</v>
      </c>
      <c r="G98" s="1">
        <v>12.315685269999999</v>
      </c>
      <c r="M98" s="1">
        <v>0.90013950740485504</v>
      </c>
      <c r="N98" s="1">
        <v>302.89999999999998</v>
      </c>
      <c r="O98" s="1">
        <v>19.117519380000001</v>
      </c>
      <c r="Q98" s="1">
        <v>0.81990311322326803</v>
      </c>
      <c r="R98" s="1">
        <v>312.8</v>
      </c>
      <c r="S98" s="1">
        <v>24.028129580000002</v>
      </c>
    </row>
    <row r="99" spans="1:19" x14ac:dyDescent="0.3">
      <c r="A99" s="1">
        <v>1.4820028189121299</v>
      </c>
      <c r="B99" s="1">
        <v>273.39999999999998</v>
      </c>
      <c r="C99" s="1">
        <v>9.7724399599999998</v>
      </c>
      <c r="E99" s="1">
        <v>1.4026009286316701</v>
      </c>
      <c r="F99" s="1">
        <v>283.5</v>
      </c>
      <c r="G99" s="1">
        <v>12.440670969999999</v>
      </c>
      <c r="M99" s="1">
        <v>0.91414949385254396</v>
      </c>
      <c r="N99" s="1">
        <v>302.89999999999998</v>
      </c>
      <c r="O99" s="1">
        <v>19.206325530000001</v>
      </c>
      <c r="Q99" s="1">
        <v>0.83364289166392302</v>
      </c>
      <c r="R99" s="1">
        <v>312.8</v>
      </c>
      <c r="S99" s="1">
        <v>24.156402589999999</v>
      </c>
    </row>
    <row r="100" spans="1:19" x14ac:dyDescent="0.3">
      <c r="A100" s="1">
        <v>1.495577078278</v>
      </c>
      <c r="B100" s="1">
        <v>273.39999999999998</v>
      </c>
      <c r="C100" s="1">
        <v>9.8935632699999996</v>
      </c>
      <c r="E100" s="1">
        <v>1.41903437952415</v>
      </c>
      <c r="F100" s="1">
        <v>283.5</v>
      </c>
      <c r="G100" s="1">
        <v>12.555788039999999</v>
      </c>
      <c r="M100" s="1">
        <v>0.92814882158144996</v>
      </c>
      <c r="N100" s="1">
        <v>302.89999999999998</v>
      </c>
      <c r="O100" s="1">
        <v>19.291841510000001</v>
      </c>
      <c r="Q100" s="1">
        <v>0.84946587400863505</v>
      </c>
      <c r="R100" s="1">
        <v>312.8</v>
      </c>
      <c r="S100" s="1">
        <v>24.301122670000002</v>
      </c>
    </row>
    <row r="101" spans="1:19" x14ac:dyDescent="0.3">
      <c r="A101" s="1">
        <v>1.50939785399272</v>
      </c>
      <c r="B101" s="1">
        <v>273.39999999999998</v>
      </c>
      <c r="C101" s="1">
        <v>10.014685630000001</v>
      </c>
      <c r="E101" s="1">
        <v>1.4336000692123301</v>
      </c>
      <c r="F101" s="1">
        <v>283.5</v>
      </c>
      <c r="G101" s="1">
        <v>12.65775013</v>
      </c>
      <c r="M101" s="1">
        <v>0.94496778736120202</v>
      </c>
      <c r="N101" s="1">
        <v>302.89999999999998</v>
      </c>
      <c r="O101" s="1">
        <v>19.38393593</v>
      </c>
      <c r="Q101" s="1">
        <v>0.86390817944754195</v>
      </c>
      <c r="R101" s="1">
        <v>312.8</v>
      </c>
      <c r="S101" s="1">
        <v>24.389928820000002</v>
      </c>
    </row>
    <row r="102" spans="1:19" x14ac:dyDescent="0.3">
      <c r="A102" s="1">
        <v>1.52399926134027</v>
      </c>
      <c r="B102" s="1">
        <v>273.39999999999998</v>
      </c>
      <c r="C102" s="1">
        <v>10.141312599999999</v>
      </c>
      <c r="E102" s="1">
        <v>1.45207836817636</v>
      </c>
      <c r="F102" s="1">
        <v>283.5</v>
      </c>
      <c r="G102" s="1">
        <v>12.809048649999999</v>
      </c>
      <c r="M102" s="1">
        <v>0.95965896917881999</v>
      </c>
      <c r="N102" s="1">
        <v>302.89999999999998</v>
      </c>
      <c r="O102" s="1">
        <v>19.476030349999998</v>
      </c>
      <c r="Q102" s="1">
        <v>0.87623109877350303</v>
      </c>
      <c r="R102" s="1">
        <v>312.8</v>
      </c>
      <c r="S102" s="1">
        <v>24.511625290000001</v>
      </c>
    </row>
    <row r="103" spans="1:19" x14ac:dyDescent="0.3">
      <c r="A103" s="1">
        <v>1.5339861096888101</v>
      </c>
      <c r="B103" s="1">
        <v>273.39999999999998</v>
      </c>
      <c r="C103" s="1">
        <v>10.28996658</v>
      </c>
      <c r="E103" s="1">
        <v>1.46490350227208</v>
      </c>
      <c r="F103" s="1">
        <v>283.5</v>
      </c>
      <c r="G103" s="1">
        <v>12.940611840000001</v>
      </c>
      <c r="M103" s="1">
        <v>0.974825555681051</v>
      </c>
      <c r="N103" s="1">
        <v>302.89999999999998</v>
      </c>
      <c r="O103" s="1">
        <v>19.571413039999999</v>
      </c>
      <c r="Q103" s="1">
        <v>0.89032657657104297</v>
      </c>
      <c r="R103" s="1">
        <v>312.8</v>
      </c>
      <c r="S103" s="1">
        <v>24.659633639999999</v>
      </c>
    </row>
    <row r="104" spans="1:19" x14ac:dyDescent="0.3">
      <c r="A104" s="1">
        <v>1.54625727742313</v>
      </c>
      <c r="B104" s="1">
        <v>273.39999999999998</v>
      </c>
      <c r="C104" s="1">
        <v>10.444124220000001</v>
      </c>
      <c r="E104" s="1">
        <v>1.47988420925638</v>
      </c>
      <c r="F104" s="1">
        <v>283.5</v>
      </c>
      <c r="G104" s="1">
        <v>13.05902004</v>
      </c>
      <c r="M104" s="1">
        <v>0.99021313079690099</v>
      </c>
      <c r="N104" s="1">
        <v>302.89999999999998</v>
      </c>
      <c r="O104" s="1">
        <v>19.666797639999999</v>
      </c>
      <c r="Q104" s="1">
        <v>0.90664323153146198</v>
      </c>
      <c r="R104" s="1">
        <v>312.8</v>
      </c>
      <c r="S104" s="1">
        <v>24.74515152</v>
      </c>
    </row>
    <row r="105" spans="1:19" x14ac:dyDescent="0.3">
      <c r="A105" s="1">
        <v>1.5592103023922399</v>
      </c>
      <c r="B105" s="1">
        <v>273.39999999999998</v>
      </c>
      <c r="C105" s="1">
        <v>10.70289135</v>
      </c>
      <c r="E105" s="1">
        <v>1.4953218545951299</v>
      </c>
      <c r="F105" s="1">
        <v>283.5</v>
      </c>
      <c r="G105" s="1">
        <v>13.197160719999999</v>
      </c>
      <c r="M105" s="1">
        <v>1.0035265063287699</v>
      </c>
      <c r="N105" s="1">
        <v>302.89999999999998</v>
      </c>
      <c r="O105" s="1">
        <v>19.74573517</v>
      </c>
      <c r="Q105" s="1">
        <v>0.92083642605215699</v>
      </c>
      <c r="R105" s="1">
        <v>312.8</v>
      </c>
      <c r="S105" s="1">
        <v>24.820798870000001</v>
      </c>
    </row>
    <row r="106" spans="1:19" x14ac:dyDescent="0.3">
      <c r="A106" s="1">
        <v>1.57020123294047</v>
      </c>
      <c r="B106" s="1">
        <v>273.39999999999998</v>
      </c>
      <c r="C106" s="1">
        <v>11.00569439</v>
      </c>
      <c r="E106" s="1">
        <v>1.50983763702794</v>
      </c>
      <c r="F106" s="1">
        <v>283.5</v>
      </c>
      <c r="G106" s="1">
        <v>13.37806129</v>
      </c>
      <c r="M106" s="1">
        <v>1.01838137292332</v>
      </c>
      <c r="N106" s="1">
        <v>302.89999999999998</v>
      </c>
      <c r="O106" s="1">
        <v>19.844408040000001</v>
      </c>
      <c r="Q106" s="1">
        <v>0.93321929698899497</v>
      </c>
      <c r="R106" s="1">
        <v>312.8</v>
      </c>
      <c r="S106" s="1">
        <v>24.955652239999999</v>
      </c>
    </row>
    <row r="107" spans="1:19" x14ac:dyDescent="0.3">
      <c r="A107" s="1">
        <v>1.58032823510512</v>
      </c>
      <c r="B107" s="1">
        <v>273.39999999999998</v>
      </c>
      <c r="C107" s="1">
        <v>11.330523489999999</v>
      </c>
      <c r="E107" s="1">
        <v>1.5199897312692401</v>
      </c>
      <c r="F107" s="1">
        <v>283.5</v>
      </c>
      <c r="G107" s="1">
        <v>13.49975777</v>
      </c>
      <c r="M107" s="1">
        <v>1.0336165535094199</v>
      </c>
      <c r="N107" s="1">
        <v>302.89999999999998</v>
      </c>
      <c r="O107" s="1">
        <v>19.929924010000001</v>
      </c>
      <c r="Q107" s="1">
        <v>0.94662945903659501</v>
      </c>
      <c r="R107" s="1">
        <v>312.8</v>
      </c>
      <c r="S107" s="1">
        <v>25.057611470000001</v>
      </c>
    </row>
    <row r="108" spans="1:19" x14ac:dyDescent="0.3">
      <c r="A108" s="1">
        <v>1.5888052622930999</v>
      </c>
      <c r="B108" s="1">
        <v>273.39999999999998</v>
      </c>
      <c r="C108" s="1">
        <v>11.63333416</v>
      </c>
      <c r="E108" s="1">
        <v>1.53140007720845</v>
      </c>
      <c r="F108" s="1">
        <v>283.5</v>
      </c>
      <c r="G108" s="1">
        <v>13.624743459999999</v>
      </c>
      <c r="M108" s="1">
        <v>1.05075805439262</v>
      </c>
      <c r="N108" s="1">
        <v>302.89999999999998</v>
      </c>
      <c r="O108" s="1">
        <v>20.03517532</v>
      </c>
      <c r="Q108" s="1">
        <v>0.96196101225257902</v>
      </c>
      <c r="R108" s="1">
        <v>312.8</v>
      </c>
      <c r="S108" s="1">
        <v>25.182598110000001</v>
      </c>
    </row>
    <row r="109" spans="1:19" x14ac:dyDescent="0.3">
      <c r="A109" s="1">
        <v>1.5973462226157999</v>
      </c>
      <c r="B109" s="1">
        <v>273.39999999999998</v>
      </c>
      <c r="C109" s="1">
        <v>11.94715405</v>
      </c>
      <c r="E109" s="1">
        <v>1.5445718652021301</v>
      </c>
      <c r="F109" s="1">
        <v>283.5</v>
      </c>
      <c r="G109" s="1">
        <v>13.815509799999999</v>
      </c>
      <c r="M109" s="1">
        <v>1.0655889372829299</v>
      </c>
      <c r="N109" s="1">
        <v>302.89999999999998</v>
      </c>
      <c r="O109" s="1">
        <v>20.120691300000001</v>
      </c>
      <c r="Q109" s="1">
        <v>0.979360231627317</v>
      </c>
      <c r="R109" s="1">
        <v>312.8</v>
      </c>
      <c r="S109" s="1">
        <v>25.28126907</v>
      </c>
    </row>
    <row r="110" spans="1:19" x14ac:dyDescent="0.3">
      <c r="A110" s="1">
        <v>1.60367719592497</v>
      </c>
      <c r="B110" s="1">
        <v>273.39999999999998</v>
      </c>
      <c r="C110" s="1">
        <v>12.26647949</v>
      </c>
      <c r="E110" s="1">
        <v>1.5553221482248401</v>
      </c>
      <c r="F110" s="1">
        <v>283.5</v>
      </c>
      <c r="G110" s="1">
        <v>14.03258896</v>
      </c>
      <c r="M110" s="1">
        <v>1.07890565701576</v>
      </c>
      <c r="N110" s="1">
        <v>302.89999999999998</v>
      </c>
      <c r="O110" s="1">
        <v>20.219364169999999</v>
      </c>
      <c r="Q110" s="1">
        <v>0.99090761403455296</v>
      </c>
      <c r="R110" s="1">
        <v>312.8</v>
      </c>
      <c r="S110" s="1">
        <v>25.353630070000001</v>
      </c>
    </row>
    <row r="111" spans="1:19" x14ac:dyDescent="0.3">
      <c r="A111" s="1">
        <v>1.6113598322766201</v>
      </c>
      <c r="B111" s="1">
        <v>273.39999999999998</v>
      </c>
      <c r="C111" s="1">
        <v>12.64085674</v>
      </c>
      <c r="E111" s="1">
        <v>1.5644741659755099</v>
      </c>
      <c r="F111" s="1">
        <v>283.5</v>
      </c>
      <c r="G111" s="1">
        <v>14.210200309999999</v>
      </c>
      <c r="M111" s="1">
        <v>1.09488492394892</v>
      </c>
      <c r="N111" s="1">
        <v>302.89999999999998</v>
      </c>
      <c r="O111" s="1">
        <v>20.324615479999999</v>
      </c>
      <c r="Q111" s="1">
        <v>1.0037827684160301</v>
      </c>
      <c r="R111" s="1">
        <v>312.8</v>
      </c>
      <c r="S111" s="1">
        <v>25.481904979999999</v>
      </c>
    </row>
    <row r="112" spans="1:19" x14ac:dyDescent="0.3">
      <c r="A112" s="1">
        <v>1.6160513615904699</v>
      </c>
      <c r="B112" s="1">
        <v>273.39999999999998</v>
      </c>
      <c r="C112" s="1">
        <v>12.97670269</v>
      </c>
      <c r="E112" s="1">
        <v>1.57569251207529</v>
      </c>
      <c r="F112" s="1">
        <v>283.5</v>
      </c>
      <c r="G112" s="1">
        <v>14.433857919999999</v>
      </c>
      <c r="M112" s="1">
        <v>1.1045639020228899</v>
      </c>
      <c r="N112" s="1">
        <v>302.89999999999998</v>
      </c>
      <c r="O112" s="1">
        <v>20.383817669999999</v>
      </c>
      <c r="Q112" s="1">
        <v>1.0178338304029499</v>
      </c>
      <c r="R112" s="1">
        <v>312.8</v>
      </c>
      <c r="S112" s="1">
        <v>25.60360146</v>
      </c>
    </row>
    <row r="113" spans="1:19" x14ac:dyDescent="0.3">
      <c r="A113" s="1">
        <v>1.62184978345255</v>
      </c>
      <c r="B113" s="1">
        <v>273.39999999999998</v>
      </c>
      <c r="C113" s="1">
        <v>13.367593769999999</v>
      </c>
      <c r="E113" s="1">
        <v>1.5849867381035401</v>
      </c>
      <c r="F113" s="1">
        <v>283.5</v>
      </c>
      <c r="G113" s="1">
        <v>14.729876519999999</v>
      </c>
      <c r="M113" s="1">
        <v>1.1235788489837999</v>
      </c>
      <c r="N113" s="1">
        <v>302.89999999999998</v>
      </c>
      <c r="O113" s="1">
        <v>20.492359159999999</v>
      </c>
      <c r="Q113" s="1">
        <v>1.03171091087032</v>
      </c>
      <c r="R113" s="1">
        <v>312.8</v>
      </c>
      <c r="S113" s="1">
        <v>25.738454820000001</v>
      </c>
    </row>
    <row r="114" spans="1:19" x14ac:dyDescent="0.3">
      <c r="A114" s="1">
        <v>1.62650711652477</v>
      </c>
      <c r="B114" s="1">
        <v>273.39999999999998</v>
      </c>
      <c r="C114" s="1">
        <v>13.73647499</v>
      </c>
      <c r="E114" s="1">
        <v>1.59078653097078</v>
      </c>
      <c r="F114" s="1">
        <v>283.5</v>
      </c>
      <c r="G114" s="1">
        <v>14.9502449</v>
      </c>
      <c r="M114" s="1">
        <v>1.1382933223545399</v>
      </c>
      <c r="N114" s="1">
        <v>302.89999999999998</v>
      </c>
      <c r="O114" s="1">
        <v>20.594322200000001</v>
      </c>
      <c r="Q114" s="1">
        <v>1.04824459690642</v>
      </c>
      <c r="R114" s="1">
        <v>312.8</v>
      </c>
      <c r="S114" s="1">
        <v>25.8831749</v>
      </c>
    </row>
    <row r="115" spans="1:19" x14ac:dyDescent="0.3">
      <c r="A115" s="1">
        <v>1.6282104532778301</v>
      </c>
      <c r="B115" s="1">
        <v>273.39999999999998</v>
      </c>
      <c r="C115" s="1">
        <v>14.033773419999999</v>
      </c>
      <c r="E115" s="1">
        <v>1.59699452818688</v>
      </c>
      <c r="F115" s="1">
        <v>283.5</v>
      </c>
      <c r="G115" s="1">
        <v>15.16732502</v>
      </c>
      <c r="M115" s="1">
        <v>1.15288097006773</v>
      </c>
      <c r="N115" s="1">
        <v>302.89999999999998</v>
      </c>
      <c r="O115" s="1">
        <v>20.689704899999999</v>
      </c>
      <c r="Q115" s="1">
        <v>1.06445459325646</v>
      </c>
      <c r="R115" s="1">
        <v>312.8</v>
      </c>
      <c r="S115" s="1">
        <v>26.014738080000001</v>
      </c>
    </row>
    <row r="116" spans="1:19" x14ac:dyDescent="0.3">
      <c r="A116" s="1">
        <v>1.6321964318528299</v>
      </c>
      <c r="B116" s="1">
        <v>273.39999999999998</v>
      </c>
      <c r="C116" s="1">
        <v>14.4522028</v>
      </c>
      <c r="E116" s="1">
        <v>1.6029085266157801</v>
      </c>
      <c r="F116" s="1">
        <v>283.5</v>
      </c>
      <c r="G116" s="1">
        <v>15.44031906</v>
      </c>
      <c r="M116" s="1">
        <v>1.1657226105237499</v>
      </c>
      <c r="N116" s="1">
        <v>302.89999999999998</v>
      </c>
      <c r="O116" s="1">
        <v>20.788377759999999</v>
      </c>
      <c r="Q116" s="1">
        <v>1.0813788742116299</v>
      </c>
      <c r="R116" s="1">
        <v>312.8</v>
      </c>
      <c r="S116" s="1">
        <v>26.139722819999999</v>
      </c>
    </row>
    <row r="117" spans="1:19" x14ac:dyDescent="0.3">
      <c r="A117" s="1">
        <v>1.6343269031241401</v>
      </c>
      <c r="B117" s="1">
        <v>273.39999999999998</v>
      </c>
      <c r="C117" s="1">
        <v>14.777031900000001</v>
      </c>
      <c r="E117" s="1">
        <v>1.6043962444863999</v>
      </c>
      <c r="F117" s="1">
        <v>283.5</v>
      </c>
      <c r="G117" s="1">
        <v>15.45347595</v>
      </c>
      <c r="M117" s="1">
        <v>1.1803833711314899</v>
      </c>
      <c r="N117" s="1">
        <v>302.89999999999998</v>
      </c>
      <c r="O117" s="1">
        <v>20.890336990000002</v>
      </c>
      <c r="Q117" s="1">
        <v>1.0955992752669399</v>
      </c>
      <c r="R117" s="1">
        <v>312.8</v>
      </c>
      <c r="S117" s="1">
        <v>26.22852898</v>
      </c>
    </row>
    <row r="118" spans="1:19" x14ac:dyDescent="0.3">
      <c r="A118" s="1">
        <v>1.6368489824549799</v>
      </c>
      <c r="B118" s="1">
        <v>273.39999999999998</v>
      </c>
      <c r="C118" s="1">
        <v>15.123887059999999</v>
      </c>
      <c r="E118" s="1">
        <v>1.6060458427681501</v>
      </c>
      <c r="F118" s="1">
        <v>283.5</v>
      </c>
      <c r="G118" s="1">
        <v>15.437029839999999</v>
      </c>
      <c r="M118" s="1">
        <v>1.1933182662867401</v>
      </c>
      <c r="N118" s="1">
        <v>302.89999999999998</v>
      </c>
      <c r="O118" s="1">
        <v>20.98901176</v>
      </c>
      <c r="Q118" s="1">
        <v>1.1048822757901999</v>
      </c>
      <c r="R118" s="1">
        <v>312.8</v>
      </c>
      <c r="S118" s="1">
        <v>26.356801990000001</v>
      </c>
    </row>
    <row r="119" spans="1:19" x14ac:dyDescent="0.3">
      <c r="A119" s="1">
        <v>1.63986217045278</v>
      </c>
      <c r="B119" s="1">
        <v>273.39999999999998</v>
      </c>
      <c r="C119" s="1">
        <v>15.432194709999999</v>
      </c>
      <c r="E119" s="1">
        <v>1.60481206441571</v>
      </c>
      <c r="F119" s="1">
        <v>283.5</v>
      </c>
      <c r="G119" s="1">
        <v>15.430452349999999</v>
      </c>
      <c r="M119" s="1">
        <v>1.2063717069526401</v>
      </c>
      <c r="N119" s="1">
        <v>302.89999999999998</v>
      </c>
      <c r="O119" s="1">
        <v>21.084394450000001</v>
      </c>
      <c r="Q119" s="1">
        <v>1.11980153417865</v>
      </c>
      <c r="R119" s="1">
        <v>312.8</v>
      </c>
      <c r="S119" s="1">
        <v>26.465343480000001</v>
      </c>
    </row>
    <row r="120" spans="1:19" x14ac:dyDescent="0.3">
      <c r="A120" s="1">
        <v>1.6411408873041999</v>
      </c>
      <c r="B120" s="1">
        <v>273.39999999999998</v>
      </c>
      <c r="C120" s="1">
        <v>15.779048919999999</v>
      </c>
      <c r="E120" s="1">
        <v>1.60335834527437</v>
      </c>
      <c r="F120" s="1">
        <v>283.5</v>
      </c>
      <c r="G120" s="1">
        <v>15.420584679999999</v>
      </c>
      <c r="M120" s="1">
        <v>1.2196388404830201</v>
      </c>
      <c r="N120" s="1">
        <v>302.89999999999998</v>
      </c>
      <c r="O120" s="1">
        <v>21.186355590000002</v>
      </c>
      <c r="Q120" s="1">
        <v>1.13291011973439</v>
      </c>
      <c r="R120" s="1">
        <v>312.8</v>
      </c>
      <c r="S120" s="1">
        <v>26.59032822</v>
      </c>
    </row>
    <row r="121" spans="1:19" x14ac:dyDescent="0.3">
      <c r="A121" s="1">
        <v>1.64284268030358</v>
      </c>
      <c r="B121" s="1">
        <v>273.39999999999998</v>
      </c>
      <c r="C121" s="1">
        <v>16.114894870000001</v>
      </c>
      <c r="E121" s="1">
        <v>1.60068003100418</v>
      </c>
      <c r="F121" s="1">
        <v>283.5</v>
      </c>
      <c r="G121" s="1">
        <v>15.437029839999999</v>
      </c>
      <c r="M121" s="1">
        <v>1.2334870356432399</v>
      </c>
      <c r="N121" s="1">
        <v>302.89999999999998</v>
      </c>
      <c r="O121" s="1">
        <v>21.291606900000001</v>
      </c>
      <c r="Q121" s="1">
        <v>1.1488226738853</v>
      </c>
      <c r="R121" s="1">
        <v>312.8</v>
      </c>
      <c r="S121" s="1">
        <v>26.698867799999999</v>
      </c>
    </row>
    <row r="122" spans="1:19" x14ac:dyDescent="0.3">
      <c r="A122" s="1">
        <v>1.6453238809234201</v>
      </c>
      <c r="B122" s="1">
        <v>273.39999999999998</v>
      </c>
      <c r="C122" s="1">
        <v>16.456237789999999</v>
      </c>
      <c r="E122" s="1">
        <v>1.5989955971987799</v>
      </c>
      <c r="F122" s="1">
        <v>283.5</v>
      </c>
      <c r="G122" s="1">
        <v>15.43374157</v>
      </c>
      <c r="M122" s="1">
        <v>1.2440297860848899</v>
      </c>
      <c r="N122" s="1">
        <v>302.89999999999998</v>
      </c>
      <c r="O122" s="1">
        <v>21.393568040000002</v>
      </c>
      <c r="Q122" s="1">
        <v>1.1621821962229999</v>
      </c>
      <c r="R122" s="1">
        <v>312.8</v>
      </c>
      <c r="S122" s="1">
        <v>26.827142720000001</v>
      </c>
    </row>
    <row r="123" spans="1:19" x14ac:dyDescent="0.3">
      <c r="A123" s="1">
        <v>1.6473753224191801</v>
      </c>
      <c r="B123" s="1">
        <v>273.39999999999998</v>
      </c>
      <c r="C123" s="1">
        <v>16.770057680000001</v>
      </c>
      <c r="E123" s="1">
        <v>1.59808754516066</v>
      </c>
      <c r="F123" s="1">
        <v>283.5</v>
      </c>
      <c r="G123" s="1">
        <v>15.420584679999999</v>
      </c>
      <c r="M123" s="1">
        <v>1.2572174977097701</v>
      </c>
      <c r="N123" s="1">
        <v>302.89999999999998</v>
      </c>
      <c r="O123" s="1">
        <v>21.50210762</v>
      </c>
      <c r="Q123" s="1">
        <v>1.1731449404691301</v>
      </c>
      <c r="R123" s="1">
        <v>312.8</v>
      </c>
      <c r="S123" s="1">
        <v>26.958705900000002</v>
      </c>
    </row>
    <row r="124" spans="1:19" x14ac:dyDescent="0.3">
      <c r="A124" s="1">
        <v>1.6478364097059</v>
      </c>
      <c r="B124" s="1">
        <v>273.39999999999998</v>
      </c>
      <c r="C124" s="1">
        <v>17.10590363</v>
      </c>
      <c r="E124" s="1">
        <v>1.5968549001841601</v>
      </c>
      <c r="F124" s="1">
        <v>283.5</v>
      </c>
      <c r="G124" s="1">
        <v>15.410717959999999</v>
      </c>
      <c r="M124" s="1">
        <v>1.2692004261668599</v>
      </c>
      <c r="N124" s="1">
        <v>302.89999999999998</v>
      </c>
      <c r="O124" s="1">
        <v>21.600780489999998</v>
      </c>
      <c r="Q124" s="1">
        <v>1.18720206320335</v>
      </c>
      <c r="R124" s="1">
        <v>312.8</v>
      </c>
      <c r="S124" s="1">
        <v>27.11658096</v>
      </c>
    </row>
    <row r="125" spans="1:19" x14ac:dyDescent="0.3">
      <c r="A125" s="1">
        <v>1.6495358972505201</v>
      </c>
      <c r="B125" s="1">
        <v>273.39999999999998</v>
      </c>
      <c r="C125" s="1">
        <v>17.44174194</v>
      </c>
      <c r="E125" s="1">
        <v>1.59450982365657</v>
      </c>
      <c r="F125" s="1">
        <v>283.5</v>
      </c>
      <c r="G125" s="1">
        <v>15.420584679999999</v>
      </c>
      <c r="M125" s="1">
        <v>1.28127361639589</v>
      </c>
      <c r="N125" s="1">
        <v>302.89999999999998</v>
      </c>
      <c r="O125" s="1">
        <v>21.702743529999999</v>
      </c>
      <c r="Q125" s="1">
        <v>1.2016758437460899</v>
      </c>
      <c r="R125" s="1">
        <v>312.8</v>
      </c>
      <c r="S125" s="1">
        <v>27.24814606</v>
      </c>
    </row>
    <row r="126" spans="1:19" x14ac:dyDescent="0.3">
      <c r="A126" s="1">
        <v>1.65137806573232</v>
      </c>
      <c r="B126" s="1">
        <v>273.39999999999998</v>
      </c>
      <c r="C126" s="1">
        <v>17.799606319999999</v>
      </c>
      <c r="E126" s="1">
        <v>1.5991355523526101</v>
      </c>
      <c r="F126" s="1">
        <v>283.5</v>
      </c>
      <c r="G126" s="1">
        <v>15.759361269999999</v>
      </c>
      <c r="M126" s="1">
        <v>1.29106178329884</v>
      </c>
      <c r="N126" s="1">
        <v>302.89999999999998</v>
      </c>
      <c r="O126" s="1">
        <v>21.784969329999999</v>
      </c>
      <c r="Q126" s="1">
        <v>1.2143402729850801</v>
      </c>
      <c r="R126" s="1">
        <v>312.8</v>
      </c>
      <c r="S126" s="1">
        <v>27.376420970000002</v>
      </c>
    </row>
    <row r="127" spans="1:19" x14ac:dyDescent="0.3">
      <c r="A127" s="1">
        <v>1.6529357329624501</v>
      </c>
      <c r="B127" s="1">
        <v>273.39999999999998</v>
      </c>
      <c r="C127" s="1">
        <v>18.151966089999998</v>
      </c>
      <c r="E127" s="1">
        <v>1.60565169009836</v>
      </c>
      <c r="F127" s="1">
        <v>283.5</v>
      </c>
      <c r="G127" s="1">
        <v>16.117872240000001</v>
      </c>
      <c r="M127" s="1">
        <v>1.30102996604225</v>
      </c>
      <c r="N127" s="1">
        <v>302.89999999999998</v>
      </c>
      <c r="O127" s="1">
        <v>21.88693237</v>
      </c>
      <c r="Q127" s="1">
        <v>1.22816709549348</v>
      </c>
      <c r="R127" s="1">
        <v>312.8</v>
      </c>
      <c r="S127" s="1">
        <v>27.514562609999999</v>
      </c>
    </row>
    <row r="128" spans="1:19" x14ac:dyDescent="0.3">
      <c r="A128" s="1">
        <v>1.6545610872755301</v>
      </c>
      <c r="B128" s="1">
        <v>273.39999999999998</v>
      </c>
      <c r="C128" s="1">
        <v>18.476795200000002</v>
      </c>
      <c r="E128" s="1">
        <v>1.6112721485525701</v>
      </c>
      <c r="F128" s="1">
        <v>283.5</v>
      </c>
      <c r="G128" s="1">
        <v>16.456647870000001</v>
      </c>
      <c r="M128" s="1">
        <v>1.3113928338472001</v>
      </c>
      <c r="N128" s="1">
        <v>302.89999999999998</v>
      </c>
      <c r="O128" s="1">
        <v>21.969160080000002</v>
      </c>
      <c r="Q128" s="1">
        <v>1.23915489819147</v>
      </c>
      <c r="R128" s="1">
        <v>312.8</v>
      </c>
      <c r="S128" s="1">
        <v>27.662570949999999</v>
      </c>
    </row>
    <row r="129" spans="1:19" x14ac:dyDescent="0.3">
      <c r="A129" s="1">
        <v>1.65604504448706</v>
      </c>
      <c r="B129" s="1">
        <v>273.39999999999998</v>
      </c>
      <c r="C129" s="1">
        <v>18.818145749999999</v>
      </c>
      <c r="E129" s="1">
        <v>1.6153819730285901</v>
      </c>
      <c r="F129" s="1">
        <v>283.5</v>
      </c>
      <c r="G129" s="1">
        <v>16.795423509999999</v>
      </c>
      <c r="M129" s="1">
        <v>1.32274543719258</v>
      </c>
      <c r="N129" s="1">
        <v>302.89999999999998</v>
      </c>
      <c r="O129" s="1">
        <v>22.09414482</v>
      </c>
      <c r="Q129" s="1">
        <v>1.2535259795390601</v>
      </c>
      <c r="R129" s="1">
        <v>312.8</v>
      </c>
      <c r="S129" s="1">
        <v>27.807291029999998</v>
      </c>
    </row>
    <row r="130" spans="1:19" x14ac:dyDescent="0.3">
      <c r="A130" s="1">
        <v>1.6565768943559001</v>
      </c>
      <c r="B130" s="1">
        <v>273.39999999999998</v>
      </c>
      <c r="C130" s="1">
        <v>19.165000920000001</v>
      </c>
      <c r="E130" s="1">
        <v>1.61862741571645</v>
      </c>
      <c r="F130" s="1">
        <v>283.5</v>
      </c>
      <c r="G130" s="1">
        <v>17.196691510000001</v>
      </c>
      <c r="M130" s="1">
        <v>1.3340082304015</v>
      </c>
      <c r="N130" s="1">
        <v>302.89999999999998</v>
      </c>
      <c r="O130" s="1">
        <v>22.19939613</v>
      </c>
      <c r="Q130" s="1">
        <v>1.26698004551275</v>
      </c>
      <c r="R130" s="1">
        <v>312.8</v>
      </c>
      <c r="S130" s="1">
        <v>27.935564039999999</v>
      </c>
    </row>
    <row r="131" spans="1:19" x14ac:dyDescent="0.3">
      <c r="A131" s="1">
        <v>1.6591189121282099</v>
      </c>
      <c r="B131" s="1">
        <v>273.39999999999998</v>
      </c>
      <c r="C131" s="1">
        <v>19.51736069</v>
      </c>
      <c r="E131" s="1">
        <v>1.62061261637873</v>
      </c>
      <c r="F131" s="1">
        <v>283.5</v>
      </c>
      <c r="G131" s="1">
        <v>17.4828434</v>
      </c>
      <c r="M131" s="1">
        <v>1.3466312853108799</v>
      </c>
      <c r="N131" s="1">
        <v>302.89999999999998</v>
      </c>
      <c r="O131" s="1">
        <v>22.344116209999999</v>
      </c>
      <c r="Q131" s="1">
        <v>1.2801117537898199</v>
      </c>
      <c r="R131" s="1">
        <v>312.8</v>
      </c>
      <c r="S131" s="1">
        <v>28.044103620000001</v>
      </c>
    </row>
    <row r="132" spans="1:19" x14ac:dyDescent="0.3">
      <c r="A132" s="1">
        <v>1.66088400974884</v>
      </c>
      <c r="B132" s="1">
        <v>273.39999999999998</v>
      </c>
      <c r="C132" s="1">
        <v>19.86420631</v>
      </c>
      <c r="E132" s="1">
        <v>1.62501707754102</v>
      </c>
      <c r="F132" s="1">
        <v>283.5</v>
      </c>
      <c r="G132" s="1">
        <v>17.82819748</v>
      </c>
      <c r="M132" s="1">
        <v>1.3542715825103</v>
      </c>
      <c r="N132" s="1">
        <v>302.89999999999998</v>
      </c>
      <c r="O132" s="1">
        <v>22.413185120000001</v>
      </c>
      <c r="Q132" s="1">
        <v>1.28848402219862</v>
      </c>
      <c r="R132" s="1">
        <v>312.8</v>
      </c>
      <c r="S132" s="1">
        <v>28.1888237</v>
      </c>
    </row>
    <row r="133" spans="1:19" x14ac:dyDescent="0.3">
      <c r="A133" s="1">
        <v>1.6616255530031401</v>
      </c>
      <c r="B133" s="1">
        <v>273.39999999999998</v>
      </c>
      <c r="C133" s="1">
        <v>20.205556869999999</v>
      </c>
      <c r="E133" s="1">
        <v>1.6292249945867601</v>
      </c>
      <c r="F133" s="1">
        <v>283.5</v>
      </c>
      <c r="G133" s="1">
        <v>18.124214169999998</v>
      </c>
      <c r="M133" s="1">
        <v>1.3658914023034301</v>
      </c>
      <c r="N133" s="1">
        <v>302.89999999999998</v>
      </c>
      <c r="O133" s="1">
        <v>22.5579052</v>
      </c>
      <c r="Q133" s="1">
        <v>1.29831355733836</v>
      </c>
      <c r="R133" s="1">
        <v>312.8</v>
      </c>
      <c r="S133" s="1">
        <v>28.353279109999999</v>
      </c>
    </row>
    <row r="134" spans="1:19" x14ac:dyDescent="0.3">
      <c r="A134" s="1">
        <v>1.6635999524123299</v>
      </c>
      <c r="B134" s="1">
        <v>273.39999999999998</v>
      </c>
      <c r="C134" s="1">
        <v>20.546899799999998</v>
      </c>
      <c r="E134" s="1">
        <v>1.6330362874061499</v>
      </c>
      <c r="F134" s="1">
        <v>283.5</v>
      </c>
      <c r="G134" s="1">
        <v>18.46957016</v>
      </c>
      <c r="M134" s="1">
        <v>1.3746032029958299</v>
      </c>
      <c r="N134" s="1">
        <v>302.89999999999998</v>
      </c>
      <c r="O134" s="1">
        <v>22.682889939999999</v>
      </c>
      <c r="Q134" s="1">
        <v>1.3103358111936101</v>
      </c>
      <c r="R134" s="1">
        <v>312.8</v>
      </c>
      <c r="S134" s="1">
        <v>28.481554030000002</v>
      </c>
    </row>
    <row r="135" spans="1:19" x14ac:dyDescent="0.3">
      <c r="A135" s="1">
        <v>1.66487045067481</v>
      </c>
      <c r="B135" s="1">
        <v>273.39999999999998</v>
      </c>
      <c r="C135" s="1">
        <v>20.893754959999999</v>
      </c>
      <c r="E135" s="1">
        <v>1.63472721465949</v>
      </c>
      <c r="F135" s="1">
        <v>283.5</v>
      </c>
      <c r="G135" s="1">
        <v>18.91688538</v>
      </c>
      <c r="M135" s="1">
        <v>1.3827450706137701</v>
      </c>
      <c r="N135" s="1">
        <v>302.89999999999998</v>
      </c>
      <c r="O135" s="1">
        <v>22.781564710000001</v>
      </c>
      <c r="Q135" s="1">
        <v>1.31952459939912</v>
      </c>
      <c r="R135" s="1">
        <v>312.8</v>
      </c>
      <c r="S135" s="1">
        <v>28.619695660000001</v>
      </c>
    </row>
    <row r="136" spans="1:19" x14ac:dyDescent="0.3">
      <c r="A136" s="1">
        <v>1.6669514814689601</v>
      </c>
      <c r="B136" s="1">
        <v>273.39999999999998</v>
      </c>
      <c r="C136" s="1">
        <v>21.251619340000001</v>
      </c>
      <c r="E136" s="1">
        <v>1.6363827885631399</v>
      </c>
      <c r="F136" s="1">
        <v>283.5</v>
      </c>
      <c r="G136" s="1">
        <v>19.288551330000001</v>
      </c>
      <c r="M136" s="1">
        <v>1.39191126895655</v>
      </c>
      <c r="N136" s="1">
        <v>302.89999999999998</v>
      </c>
      <c r="O136" s="1">
        <v>22.906547549999999</v>
      </c>
      <c r="Q136" s="1">
        <v>1.3300181124469801</v>
      </c>
      <c r="R136" s="1">
        <v>312.8</v>
      </c>
      <c r="S136" s="1">
        <v>28.757837299999998</v>
      </c>
    </row>
    <row r="137" spans="1:19" x14ac:dyDescent="0.3">
      <c r="A137" s="1">
        <v>1.6680467254562199</v>
      </c>
      <c r="B137" s="1">
        <v>273.39999999999998</v>
      </c>
      <c r="C137" s="1">
        <v>21.60948372</v>
      </c>
      <c r="E137" s="1">
        <v>1.6380356430369101</v>
      </c>
      <c r="F137" s="1">
        <v>283.5</v>
      </c>
      <c r="G137" s="1">
        <v>19.446428300000001</v>
      </c>
      <c r="M137" s="1">
        <v>1.4024975822067001</v>
      </c>
      <c r="N137" s="1">
        <v>302.89999999999998</v>
      </c>
      <c r="O137" s="1">
        <v>23.04140091</v>
      </c>
      <c r="Q137" s="1">
        <v>1.3379757882494301</v>
      </c>
      <c r="R137" s="1">
        <v>312.8</v>
      </c>
      <c r="S137" s="1">
        <v>28.90255737</v>
      </c>
    </row>
    <row r="138" spans="1:19" x14ac:dyDescent="0.3">
      <c r="A138" s="1">
        <v>1.6703366394132599</v>
      </c>
      <c r="B138" s="1">
        <v>273.39999999999998</v>
      </c>
      <c r="C138" s="1">
        <v>21.961841580000002</v>
      </c>
      <c r="E138" s="1">
        <v>1.6412656078429599</v>
      </c>
      <c r="F138" s="1">
        <v>283.5</v>
      </c>
      <c r="G138" s="1">
        <v>19.699687959999999</v>
      </c>
      <c r="M138" s="1">
        <v>1.4124339268077799</v>
      </c>
      <c r="N138" s="1">
        <v>302.89999999999998</v>
      </c>
      <c r="O138" s="1">
        <v>23.189409260000001</v>
      </c>
      <c r="Q138" s="1">
        <v>1.3448766831487999</v>
      </c>
      <c r="R138" s="1">
        <v>312.8</v>
      </c>
      <c r="S138" s="1">
        <v>29.03740883</v>
      </c>
    </row>
    <row r="139" spans="1:19" x14ac:dyDescent="0.3">
      <c r="A139" s="1">
        <v>1.6712880901006399</v>
      </c>
      <c r="B139" s="1">
        <v>273.39999999999998</v>
      </c>
      <c r="C139" s="1">
        <v>22.297679899999999</v>
      </c>
      <c r="E139" s="1">
        <v>1.6437839076080401</v>
      </c>
      <c r="F139" s="1">
        <v>283.5</v>
      </c>
      <c r="G139" s="1">
        <v>20.143714899999999</v>
      </c>
      <c r="M139" s="1">
        <v>1.4239007178524099</v>
      </c>
      <c r="N139" s="1">
        <v>302.89999999999998</v>
      </c>
      <c r="O139" s="1">
        <v>23.350576400000001</v>
      </c>
      <c r="Q139" s="1">
        <v>1.3533758501148301</v>
      </c>
      <c r="R139" s="1">
        <v>312.8</v>
      </c>
      <c r="S139" s="1">
        <v>29.244623180000001</v>
      </c>
    </row>
    <row r="140" spans="1:19" x14ac:dyDescent="0.3">
      <c r="A140" s="1">
        <v>1.6723096526387999</v>
      </c>
      <c r="B140" s="1">
        <v>273.39999999999998</v>
      </c>
      <c r="C140" s="1">
        <v>22.644535059999999</v>
      </c>
      <c r="E140" s="1">
        <v>1.64553605412075</v>
      </c>
      <c r="F140" s="1">
        <v>283.5</v>
      </c>
      <c r="G140" s="1">
        <v>20.653524399999998</v>
      </c>
      <c r="M140" s="1">
        <v>1.43409773186036</v>
      </c>
      <c r="N140" s="1">
        <v>302.89999999999998</v>
      </c>
      <c r="O140" s="1">
        <v>23.5281868</v>
      </c>
      <c r="Q140" s="1">
        <v>1.3642141829904399</v>
      </c>
      <c r="R140" s="1">
        <v>312.8</v>
      </c>
      <c r="S140" s="1">
        <v>29.372896189999999</v>
      </c>
    </row>
    <row r="141" spans="1:19" x14ac:dyDescent="0.3">
      <c r="A141" s="1">
        <v>1.6731218436220601</v>
      </c>
      <c r="B141" s="1">
        <v>273.39999999999998</v>
      </c>
      <c r="C141" s="1">
        <v>22.996887210000001</v>
      </c>
      <c r="E141" s="1">
        <v>1.6466026922623</v>
      </c>
      <c r="F141" s="1">
        <v>283.5</v>
      </c>
      <c r="G141" s="1">
        <v>21.02848053</v>
      </c>
      <c r="M141" s="1">
        <v>1.4415996431229701</v>
      </c>
      <c r="N141" s="1">
        <v>302.89999999999998</v>
      </c>
      <c r="O141" s="1">
        <v>23.643304820000001</v>
      </c>
      <c r="Q141" s="1">
        <v>1.36955471598704</v>
      </c>
      <c r="R141" s="1">
        <v>312.8</v>
      </c>
      <c r="S141" s="1">
        <v>29.497882839999999</v>
      </c>
    </row>
    <row r="142" spans="1:19" x14ac:dyDescent="0.3">
      <c r="A142" s="1">
        <v>1.67487883869134</v>
      </c>
      <c r="B142" s="1">
        <v>273.39999999999998</v>
      </c>
      <c r="C142" s="1">
        <v>23.34375</v>
      </c>
      <c r="E142" s="1">
        <v>1.6487309057880499</v>
      </c>
      <c r="F142" s="1">
        <v>283.5</v>
      </c>
      <c r="G142" s="1">
        <v>21.350809099999999</v>
      </c>
      <c r="M142" s="1">
        <v>1.44869780060361</v>
      </c>
      <c r="N142" s="1">
        <v>302.89999999999998</v>
      </c>
      <c r="O142" s="1">
        <v>23.771577839999999</v>
      </c>
      <c r="Q142" s="1">
        <v>1.3745827878429</v>
      </c>
      <c r="R142" s="1">
        <v>312.8</v>
      </c>
      <c r="S142" s="1">
        <v>29.708383560000001</v>
      </c>
    </row>
    <row r="143" spans="1:19" x14ac:dyDescent="0.3">
      <c r="A143" s="1">
        <v>1.67638774540669</v>
      </c>
      <c r="B143" s="1">
        <v>273.39999999999998</v>
      </c>
      <c r="C143" s="1">
        <v>23.65205765</v>
      </c>
      <c r="E143" s="1">
        <v>1.6511413051330299</v>
      </c>
      <c r="F143" s="1">
        <v>283.5</v>
      </c>
      <c r="G143" s="1">
        <v>21.74879074</v>
      </c>
      <c r="M143" s="1">
        <v>1.4577784259276301</v>
      </c>
      <c r="N143" s="1">
        <v>302.89999999999998</v>
      </c>
      <c r="O143" s="1">
        <v>23.932744979999999</v>
      </c>
      <c r="Q143" s="1">
        <v>1.3835688971795199</v>
      </c>
      <c r="R143" s="1">
        <v>312.8</v>
      </c>
      <c r="S143" s="1">
        <v>29.87283897</v>
      </c>
    </row>
    <row r="144" spans="1:19" x14ac:dyDescent="0.3">
      <c r="A144" s="1">
        <v>1.67674182051636</v>
      </c>
      <c r="B144" s="1">
        <v>273.39999999999998</v>
      </c>
      <c r="C144" s="1">
        <v>24.009929660000001</v>
      </c>
      <c r="E144" s="1">
        <v>1.65303698573726</v>
      </c>
      <c r="F144" s="1">
        <v>283.5</v>
      </c>
      <c r="G144" s="1">
        <v>22.123746870000002</v>
      </c>
      <c r="M144" s="1">
        <v>1.46533796693769</v>
      </c>
      <c r="N144" s="1">
        <v>302.89999999999998</v>
      </c>
      <c r="O144" s="1">
        <v>24.107067109999999</v>
      </c>
      <c r="Q144" s="1">
        <v>1.39031181443247</v>
      </c>
      <c r="R144" s="1">
        <v>312.8</v>
      </c>
      <c r="S144" s="1">
        <v>30.05702591</v>
      </c>
    </row>
    <row r="145" spans="1:19" x14ac:dyDescent="0.3">
      <c r="A145" s="1">
        <v>1.67821750902311</v>
      </c>
      <c r="B145" s="1">
        <v>273.39999999999998</v>
      </c>
      <c r="C145" s="1">
        <v>24.35127258</v>
      </c>
      <c r="E145" s="1">
        <v>1.65391007269778</v>
      </c>
      <c r="F145" s="1">
        <v>283.5</v>
      </c>
      <c r="G145" s="1">
        <v>22.518436430000001</v>
      </c>
      <c r="M145" s="1">
        <v>1.4721683274449999</v>
      </c>
      <c r="N145" s="1">
        <v>302.89999999999998</v>
      </c>
      <c r="O145" s="1">
        <v>24.21889496</v>
      </c>
      <c r="Q145" s="1">
        <v>1.39673301015244</v>
      </c>
      <c r="R145" s="1">
        <v>312.8</v>
      </c>
      <c r="S145" s="1">
        <v>30.25108337</v>
      </c>
    </row>
    <row r="146" spans="1:19" x14ac:dyDescent="0.3">
      <c r="A146" s="1">
        <v>1.67923720048228</v>
      </c>
      <c r="B146" s="1">
        <v>273.39999999999998</v>
      </c>
      <c r="C146" s="1">
        <v>24.698127750000001</v>
      </c>
      <c r="E146" s="1">
        <v>1.65470259456054</v>
      </c>
      <c r="F146" s="1">
        <v>283.5</v>
      </c>
      <c r="G146" s="1">
        <v>22.857212069999999</v>
      </c>
      <c r="M146" s="1">
        <v>1.4792230986289701</v>
      </c>
      <c r="N146" s="1">
        <v>302.89999999999998</v>
      </c>
      <c r="O146" s="1">
        <v>24.396505359999999</v>
      </c>
      <c r="Q146" s="1">
        <v>1.40327204550033</v>
      </c>
      <c r="R146" s="1">
        <v>312.8</v>
      </c>
      <c r="S146" s="1">
        <v>30.451717380000002</v>
      </c>
    </row>
    <row r="147" spans="1:19" x14ac:dyDescent="0.3">
      <c r="A147" s="1">
        <v>1.6807463188437</v>
      </c>
      <c r="B147" s="1">
        <v>273.39999999999998</v>
      </c>
      <c r="C147" s="1">
        <v>25.044973370000001</v>
      </c>
      <c r="E147" s="1">
        <v>1.65612184580921</v>
      </c>
      <c r="F147" s="1">
        <v>283.5</v>
      </c>
      <c r="G147" s="1">
        <v>23.219011309999999</v>
      </c>
      <c r="M147" s="1">
        <v>1.4865396078194699</v>
      </c>
      <c r="N147" s="1">
        <v>302.89999999999998</v>
      </c>
      <c r="O147" s="1">
        <v>24.60042953</v>
      </c>
      <c r="Q147" s="1">
        <v>1.4127232532262799</v>
      </c>
      <c r="R147" s="1">
        <v>312.8</v>
      </c>
      <c r="S147" s="1">
        <v>30.645774840000001</v>
      </c>
    </row>
    <row r="148" spans="1:19" x14ac:dyDescent="0.3">
      <c r="A148" s="1">
        <v>1.6824633207258699</v>
      </c>
      <c r="B148" s="1">
        <v>273.39999999999998</v>
      </c>
      <c r="C148" s="1">
        <v>25.38632393</v>
      </c>
      <c r="E148" s="1">
        <v>1.6584183898082101</v>
      </c>
      <c r="F148" s="1">
        <v>283.5</v>
      </c>
      <c r="G148" s="1">
        <v>23.55121231</v>
      </c>
      <c r="M148" s="1">
        <v>1.49314485898087</v>
      </c>
      <c r="N148" s="1">
        <v>302.89999999999998</v>
      </c>
      <c r="O148" s="1">
        <v>24.78790665</v>
      </c>
      <c r="Q148" s="1">
        <v>1.42066997712024</v>
      </c>
      <c r="R148" s="1">
        <v>312.8</v>
      </c>
      <c r="S148" s="1">
        <v>30.829961780000001</v>
      </c>
    </row>
    <row r="149" spans="1:19" x14ac:dyDescent="0.3">
      <c r="A149" s="1">
        <v>1.6836583821932301</v>
      </c>
      <c r="B149" s="1">
        <v>273.39999999999998</v>
      </c>
      <c r="C149" s="1">
        <v>25.760702129999999</v>
      </c>
      <c r="E149" s="1">
        <v>1.65945179961501</v>
      </c>
      <c r="F149" s="1">
        <v>283.5</v>
      </c>
      <c r="G149" s="1">
        <v>23.988658910000002</v>
      </c>
      <c r="M149" s="1">
        <v>1.4981922414487201</v>
      </c>
      <c r="N149" s="1">
        <v>302.89999999999998</v>
      </c>
      <c r="O149" s="1">
        <v>24.955652239999999</v>
      </c>
      <c r="Q149" s="1">
        <v>1.4252021521727101</v>
      </c>
      <c r="R149" s="1">
        <v>312.8</v>
      </c>
      <c r="S149" s="1">
        <v>30.971395489999999</v>
      </c>
    </row>
    <row r="150" spans="1:19" x14ac:dyDescent="0.3">
      <c r="A150" s="1">
        <v>1.68488484425994</v>
      </c>
      <c r="B150" s="1">
        <v>273.39999999999998</v>
      </c>
      <c r="C150" s="1">
        <v>26.102052690000001</v>
      </c>
      <c r="E150" s="1">
        <v>1.66060034007109</v>
      </c>
      <c r="F150" s="1">
        <v>283.5</v>
      </c>
      <c r="G150" s="1">
        <v>24.396505359999999</v>
      </c>
      <c r="M150" s="1">
        <v>1.5036892080506199</v>
      </c>
      <c r="N150" s="1">
        <v>302.89999999999998</v>
      </c>
      <c r="O150" s="1">
        <v>25.126684189999999</v>
      </c>
      <c r="Q150" s="1">
        <v>1.42794040728578</v>
      </c>
      <c r="R150" s="1">
        <v>312.8</v>
      </c>
      <c r="S150" s="1">
        <v>31.158870700000001</v>
      </c>
    </row>
    <row r="151" spans="1:19" x14ac:dyDescent="0.3">
      <c r="A151" s="1">
        <v>1.68590197981654</v>
      </c>
      <c r="B151" s="1">
        <v>273.39999999999998</v>
      </c>
      <c r="C151" s="1">
        <v>26.448900219999999</v>
      </c>
      <c r="E151" s="1">
        <v>1.6613741170520999</v>
      </c>
      <c r="F151" s="1">
        <v>283.5</v>
      </c>
      <c r="G151" s="1">
        <v>24.751728060000001</v>
      </c>
      <c r="M151" s="1">
        <v>1.50956274394428</v>
      </c>
      <c r="N151" s="1">
        <v>302.89999999999998</v>
      </c>
      <c r="O151" s="1">
        <v>25.287849430000001</v>
      </c>
      <c r="Q151" s="1">
        <v>1.43256765548722</v>
      </c>
      <c r="R151" s="1">
        <v>312.8</v>
      </c>
      <c r="S151" s="1">
        <v>31.29043579</v>
      </c>
    </row>
    <row r="152" spans="1:19" x14ac:dyDescent="0.3">
      <c r="A152" s="1">
        <v>1.68677991147939</v>
      </c>
      <c r="B152" s="1">
        <v>273.39999999999998</v>
      </c>
      <c r="C152" s="1">
        <v>26.812276839999999</v>
      </c>
      <c r="E152" s="1">
        <v>1.66121437054381</v>
      </c>
      <c r="F152" s="1">
        <v>283.5</v>
      </c>
      <c r="G152" s="1">
        <v>24.676078799999999</v>
      </c>
      <c r="M152" s="1">
        <v>1.5143477965045</v>
      </c>
      <c r="N152" s="1">
        <v>302.89999999999998</v>
      </c>
      <c r="O152" s="1">
        <v>25.488483429999999</v>
      </c>
      <c r="Q152" s="1">
        <v>1.4379026944898201</v>
      </c>
      <c r="R152" s="1">
        <v>312.8</v>
      </c>
      <c r="S152" s="1">
        <v>31.333192830000002</v>
      </c>
    </row>
    <row r="153" spans="1:19" x14ac:dyDescent="0.3">
      <c r="A153" s="1">
        <v>1.68856542828995</v>
      </c>
      <c r="B153" s="1">
        <v>273.39999999999998</v>
      </c>
      <c r="C153" s="1">
        <v>27.164627079999999</v>
      </c>
      <c r="E153" s="1">
        <v>1.6631416109653601</v>
      </c>
      <c r="F153" s="1">
        <v>283.5</v>
      </c>
      <c r="G153" s="1">
        <v>25.05103493</v>
      </c>
      <c r="M153" s="1">
        <v>1.5188705903539099</v>
      </c>
      <c r="N153" s="1">
        <v>302.89999999999998</v>
      </c>
      <c r="O153" s="1">
        <v>25.685829160000001</v>
      </c>
      <c r="Q153" s="1">
        <v>1.4407207299024201</v>
      </c>
      <c r="R153" s="1">
        <v>312.8</v>
      </c>
      <c r="S153" s="1">
        <v>31.517381669999999</v>
      </c>
    </row>
    <row r="154" spans="1:19" x14ac:dyDescent="0.3">
      <c r="A154" s="1">
        <v>1.6893711344653499</v>
      </c>
      <c r="B154" s="1">
        <v>273.39999999999998</v>
      </c>
      <c r="C154" s="1">
        <v>27.516994480000001</v>
      </c>
      <c r="E154" s="1">
        <v>1.66490504797422</v>
      </c>
      <c r="F154" s="1">
        <v>283.5</v>
      </c>
      <c r="G154" s="1">
        <v>25.4325695</v>
      </c>
      <c r="M154" s="1">
        <v>1.5248829377944599</v>
      </c>
      <c r="N154" s="1">
        <v>302.89999999999998</v>
      </c>
      <c r="O154" s="1">
        <v>25.912776950000001</v>
      </c>
      <c r="Q154" s="1">
        <v>1.4442624532517001</v>
      </c>
      <c r="R154" s="1">
        <v>312.8</v>
      </c>
      <c r="S154" s="1">
        <v>31.718017580000001</v>
      </c>
    </row>
    <row r="155" spans="1:19" x14ac:dyDescent="0.3">
      <c r="A155" s="1">
        <v>1.69063060668823</v>
      </c>
      <c r="B155" s="1">
        <v>273.39999999999998</v>
      </c>
      <c r="C155" s="1">
        <v>27.863842009999999</v>
      </c>
      <c r="E155" s="1">
        <v>1.6651709391034</v>
      </c>
      <c r="F155" s="1">
        <v>283.5</v>
      </c>
      <c r="G155" s="1">
        <v>25.751609800000001</v>
      </c>
      <c r="M155" s="1">
        <v>1.52799945572014</v>
      </c>
      <c r="N155" s="1">
        <v>302.89999999999998</v>
      </c>
      <c r="O155" s="1">
        <v>26.123277659999999</v>
      </c>
      <c r="Q155" s="1">
        <v>1.4482181958604501</v>
      </c>
      <c r="R155" s="1">
        <v>312.8</v>
      </c>
      <c r="S155" s="1">
        <v>31.918651579999999</v>
      </c>
    </row>
    <row r="156" spans="1:19" x14ac:dyDescent="0.3">
      <c r="A156" s="1">
        <v>1.6918537868247601</v>
      </c>
      <c r="B156" s="1">
        <v>273.39999999999998</v>
      </c>
      <c r="C156" s="1">
        <v>28.205192570000001</v>
      </c>
      <c r="E156" s="1">
        <v>1.66709336572476</v>
      </c>
      <c r="F156" s="1">
        <v>283.5</v>
      </c>
      <c r="G156" s="1">
        <v>26.093675609999998</v>
      </c>
      <c r="M156" s="1">
        <v>1.5327110572359799</v>
      </c>
      <c r="N156" s="1">
        <v>302.89999999999998</v>
      </c>
      <c r="O156" s="1">
        <v>26.31075478</v>
      </c>
      <c r="Q156" s="1">
        <v>1.45272974529034</v>
      </c>
      <c r="R156" s="1">
        <v>312.8</v>
      </c>
      <c r="S156" s="1">
        <v>32.115997309999997</v>
      </c>
    </row>
    <row r="157" spans="1:19" x14ac:dyDescent="0.3">
      <c r="A157" s="1">
        <v>1.6926946623466299</v>
      </c>
      <c r="B157" s="1">
        <v>273.39999999999998</v>
      </c>
      <c r="C157" s="1">
        <v>28.56305695</v>
      </c>
      <c r="E157" s="1">
        <v>1.66825104492262</v>
      </c>
      <c r="F157" s="1">
        <v>283.5</v>
      </c>
      <c r="G157" s="1">
        <v>26.369958879999999</v>
      </c>
      <c r="M157" s="1">
        <v>1.5368738889226801</v>
      </c>
      <c r="N157" s="1">
        <v>302.89999999999998</v>
      </c>
      <c r="O157" s="1">
        <v>26.517967219999999</v>
      </c>
      <c r="Q157" s="1">
        <v>1.4558897265792199</v>
      </c>
      <c r="R157" s="1">
        <v>312.8</v>
      </c>
      <c r="S157" s="1">
        <v>32.260715480000002</v>
      </c>
    </row>
    <row r="158" spans="1:19" x14ac:dyDescent="0.3">
      <c r="A158" s="1">
        <v>1.69381454116728</v>
      </c>
      <c r="B158" s="1">
        <v>273.39999999999998</v>
      </c>
      <c r="C158" s="1">
        <v>28.926425930000001</v>
      </c>
      <c r="E158" s="1">
        <v>1.6698302896905499</v>
      </c>
      <c r="F158" s="1">
        <v>283.5</v>
      </c>
      <c r="G158" s="1">
        <v>26.636375430000001</v>
      </c>
      <c r="M158" s="1">
        <v>1.5398292120072601</v>
      </c>
      <c r="N158" s="1">
        <v>302.89999999999998</v>
      </c>
      <c r="O158" s="1">
        <v>26.708734509999999</v>
      </c>
      <c r="Q158" s="1">
        <v>1.4571123378594999</v>
      </c>
      <c r="R158" s="1">
        <v>312.8</v>
      </c>
      <c r="S158" s="1">
        <v>32.438327790000002</v>
      </c>
    </row>
    <row r="159" spans="1:19" x14ac:dyDescent="0.3">
      <c r="A159" s="1">
        <v>1.6955600923340199</v>
      </c>
      <c r="B159" s="1">
        <v>273.39999999999998</v>
      </c>
      <c r="C159" s="1">
        <v>29.273273469999999</v>
      </c>
      <c r="E159" s="1">
        <v>1.6710734184528999</v>
      </c>
      <c r="F159" s="1">
        <v>283.5</v>
      </c>
      <c r="G159" s="1">
        <v>27.070533749999999</v>
      </c>
      <c r="M159" s="1">
        <v>1.54331431062834</v>
      </c>
      <c r="N159" s="1">
        <v>302.89999999999998</v>
      </c>
      <c r="O159" s="1">
        <v>26.876478200000001</v>
      </c>
      <c r="Q159" s="1">
        <v>1.4599259424995099</v>
      </c>
      <c r="R159" s="1">
        <v>312.8</v>
      </c>
      <c r="S159" s="1">
        <v>32.464641569999998</v>
      </c>
    </row>
    <row r="160" spans="1:19" x14ac:dyDescent="0.3">
      <c r="A160" s="1">
        <v>1.6974761561613201</v>
      </c>
      <c r="B160" s="1">
        <v>273.39999999999998</v>
      </c>
      <c r="C160" s="1">
        <v>29.609127040000001</v>
      </c>
      <c r="E160" s="1">
        <v>1.67001030573223</v>
      </c>
      <c r="F160" s="1">
        <v>283.5</v>
      </c>
      <c r="G160" s="1">
        <v>27.119873049999999</v>
      </c>
      <c r="M160" s="1">
        <v>1.5451019343026899</v>
      </c>
      <c r="N160" s="1">
        <v>302.89999999999998</v>
      </c>
      <c r="O160" s="1">
        <v>27.090271000000001</v>
      </c>
      <c r="Q160" s="1">
        <v>1.46124699584616</v>
      </c>
      <c r="R160" s="1">
        <v>312.8</v>
      </c>
      <c r="S160" s="1">
        <v>32.596202849999997</v>
      </c>
    </row>
    <row r="161" spans="1:19" x14ac:dyDescent="0.3">
      <c r="A161" s="1">
        <v>1.6975141382898999</v>
      </c>
      <c r="B161" s="1">
        <v>273.39999999999998</v>
      </c>
      <c r="C161" s="1">
        <v>29.955972670000001</v>
      </c>
      <c r="E161" s="1">
        <v>1.67025054792558</v>
      </c>
      <c r="F161" s="1">
        <v>283.5</v>
      </c>
      <c r="G161" s="1">
        <v>27.458646770000001</v>
      </c>
      <c r="M161" s="1">
        <v>1.5487883383493499</v>
      </c>
      <c r="N161" s="1">
        <v>302.89999999999998</v>
      </c>
      <c r="O161" s="1">
        <v>27.300771709999999</v>
      </c>
      <c r="Q161" s="1">
        <v>1.46535512638556</v>
      </c>
      <c r="R161" s="1">
        <v>312.8</v>
      </c>
      <c r="S161" s="1">
        <v>32.783679960000001</v>
      </c>
    </row>
    <row r="162" spans="1:19" x14ac:dyDescent="0.3">
      <c r="A162" s="1">
        <v>1.6989063356933101</v>
      </c>
      <c r="B162" s="1">
        <v>273.39999999999998</v>
      </c>
      <c r="C162" s="1">
        <v>30.28631592</v>
      </c>
      <c r="E162" s="1">
        <v>1.67168898181973</v>
      </c>
      <c r="F162" s="1">
        <v>283.5</v>
      </c>
      <c r="G162" s="1">
        <v>27.866495130000001</v>
      </c>
      <c r="M162" s="1">
        <v>1.5505247618256399</v>
      </c>
      <c r="N162" s="1">
        <v>302.89999999999998</v>
      </c>
      <c r="O162" s="1">
        <v>27.511272430000002</v>
      </c>
      <c r="Q162" s="1">
        <v>1.4679754872649</v>
      </c>
      <c r="R162" s="1">
        <v>312.8</v>
      </c>
      <c r="S162" s="1">
        <v>32.908664700000003</v>
      </c>
    </row>
    <row r="163" spans="1:19" x14ac:dyDescent="0.3">
      <c r="A163" s="1">
        <v>1.70019698347774</v>
      </c>
      <c r="B163" s="1">
        <v>273.39999999999998</v>
      </c>
      <c r="C163" s="1">
        <v>30.638666149999999</v>
      </c>
      <c r="E163" s="1">
        <v>1.67342848895686</v>
      </c>
      <c r="F163" s="1">
        <v>283.5</v>
      </c>
      <c r="G163" s="1">
        <v>28.19540405</v>
      </c>
      <c r="M163" s="1">
        <v>1.5535824314717399</v>
      </c>
      <c r="N163" s="1">
        <v>302.89999999999998</v>
      </c>
      <c r="O163" s="1">
        <v>27.715194700000001</v>
      </c>
      <c r="Q163" s="1">
        <v>1.4699798145619201</v>
      </c>
      <c r="R163" s="1">
        <v>312.8</v>
      </c>
      <c r="S163" s="1">
        <v>33.040229799999999</v>
      </c>
    </row>
    <row r="164" spans="1:19" x14ac:dyDescent="0.3">
      <c r="A164" s="1">
        <v>1.7005477796930299</v>
      </c>
      <c r="B164" s="1">
        <v>273.39999999999998</v>
      </c>
      <c r="C164" s="1">
        <v>30.99653816</v>
      </c>
      <c r="E164" s="1">
        <v>1.67444993826086</v>
      </c>
      <c r="F164" s="1">
        <v>283.5</v>
      </c>
      <c r="G164" s="1">
        <v>28.514444350000002</v>
      </c>
      <c r="M164" s="1">
        <v>1.55492005362291</v>
      </c>
      <c r="N164" s="1">
        <v>302.89999999999998</v>
      </c>
      <c r="O164" s="1">
        <v>27.919118879999999</v>
      </c>
      <c r="Q164" s="1">
        <v>1.47181890707649</v>
      </c>
      <c r="R164" s="1">
        <v>312.8</v>
      </c>
      <c r="S164" s="1">
        <v>33.2408638</v>
      </c>
    </row>
    <row r="165" spans="1:19" x14ac:dyDescent="0.3">
      <c r="A165" s="1">
        <v>1.7023586908027399</v>
      </c>
      <c r="B165" s="1">
        <v>273.39999999999998</v>
      </c>
      <c r="C165" s="1">
        <v>31.35439491</v>
      </c>
      <c r="E165" s="1">
        <v>1.67518290655597</v>
      </c>
      <c r="F165" s="1">
        <v>283.5</v>
      </c>
      <c r="G165" s="1">
        <v>28.63942909</v>
      </c>
      <c r="M165" s="1">
        <v>1.55801248456877</v>
      </c>
      <c r="N165" s="1">
        <v>302.89999999999998</v>
      </c>
      <c r="O165" s="1">
        <v>28.083574299999999</v>
      </c>
      <c r="Q165" s="1">
        <v>1.4736374659879901</v>
      </c>
      <c r="R165" s="1">
        <v>312.8</v>
      </c>
      <c r="S165" s="1">
        <v>33.198108670000003</v>
      </c>
    </row>
    <row r="166" spans="1:19" x14ac:dyDescent="0.3">
      <c r="A166" s="1">
        <v>1.7030195100038099</v>
      </c>
      <c r="B166" s="1">
        <v>273.39999999999998</v>
      </c>
      <c r="C166" s="1">
        <v>31.68473625</v>
      </c>
      <c r="E166" s="1">
        <v>1.6753063422659</v>
      </c>
      <c r="F166" s="1">
        <v>283.5</v>
      </c>
      <c r="G166" s="1">
        <v>29.034120560000002</v>
      </c>
      <c r="M166" s="1">
        <v>1.55852436749585</v>
      </c>
      <c r="N166" s="1">
        <v>302.89999999999998</v>
      </c>
      <c r="O166" s="1">
        <v>28.264472959999999</v>
      </c>
      <c r="Q166" s="1">
        <v>1.4742533144802401</v>
      </c>
      <c r="R166" s="1">
        <v>312.8</v>
      </c>
      <c r="S166" s="1">
        <v>33.418472289999997</v>
      </c>
    </row>
    <row r="167" spans="1:19" x14ac:dyDescent="0.3">
      <c r="A167" s="1">
        <v>1.70417091617179</v>
      </c>
      <c r="B167" s="1">
        <v>273.39999999999998</v>
      </c>
      <c r="C167" s="1">
        <v>32.05360031</v>
      </c>
      <c r="E167" s="1">
        <v>1.6762998054548199</v>
      </c>
      <c r="F167" s="1">
        <v>283.5</v>
      </c>
      <c r="G167" s="1">
        <v>29.30053711</v>
      </c>
      <c r="M167" s="1">
        <v>1.55961701539138</v>
      </c>
      <c r="N167" s="1">
        <v>302.89999999999998</v>
      </c>
      <c r="O167" s="1">
        <v>28.448663710000002</v>
      </c>
      <c r="Q167" s="1">
        <v>1.4760479882405699</v>
      </c>
      <c r="R167" s="1">
        <v>312.8</v>
      </c>
      <c r="S167" s="1">
        <v>33.61252975</v>
      </c>
    </row>
    <row r="168" spans="1:19" x14ac:dyDescent="0.3">
      <c r="A168" s="1">
        <v>1.70528535498307</v>
      </c>
      <c r="B168" s="1">
        <v>273.39999999999998</v>
      </c>
      <c r="C168" s="1">
        <v>32.416976929999997</v>
      </c>
      <c r="E168" s="1">
        <v>1.6782201335174001</v>
      </c>
      <c r="F168" s="1">
        <v>283.5</v>
      </c>
      <c r="G168" s="1">
        <v>29.62615585</v>
      </c>
      <c r="M168" s="1">
        <v>1.5615737560443099</v>
      </c>
      <c r="N168" s="1">
        <v>302.89999999999998</v>
      </c>
      <c r="O168" s="1">
        <v>28.55062294</v>
      </c>
      <c r="Q168" s="1">
        <v>1.47722536531529</v>
      </c>
      <c r="R168" s="1">
        <v>312.8</v>
      </c>
      <c r="S168" s="1">
        <v>33.744094850000003</v>
      </c>
    </row>
    <row r="169" spans="1:19" x14ac:dyDescent="0.3">
      <c r="A169" s="1">
        <v>1.7069870004383001</v>
      </c>
      <c r="B169" s="1">
        <v>273.39999999999998</v>
      </c>
      <c r="C169" s="1">
        <v>32.758319849999999</v>
      </c>
      <c r="E169" s="1">
        <v>1.67901259631027</v>
      </c>
      <c r="F169" s="1">
        <v>283.5</v>
      </c>
      <c r="G169" s="1">
        <v>29.978088379999999</v>
      </c>
      <c r="M169" s="1">
        <v>1.56189565520957</v>
      </c>
      <c r="N169" s="1">
        <v>302.89999999999998</v>
      </c>
      <c r="O169" s="1">
        <v>28.731525420000001</v>
      </c>
      <c r="Q169" s="1">
        <v>1.4769069908627599</v>
      </c>
      <c r="R169" s="1">
        <v>312.8</v>
      </c>
      <c r="S169" s="1">
        <v>33.944728849999997</v>
      </c>
    </row>
    <row r="170" spans="1:19" x14ac:dyDescent="0.3">
      <c r="A170" s="1">
        <v>1.7073011545482799</v>
      </c>
      <c r="B170" s="1">
        <v>273.39999999999998</v>
      </c>
      <c r="C170" s="1">
        <v>33.110687259999999</v>
      </c>
      <c r="E170" s="1">
        <v>1.6782600563818</v>
      </c>
      <c r="F170" s="1">
        <v>283.5</v>
      </c>
      <c r="G170" s="1">
        <v>30.277395250000001</v>
      </c>
      <c r="M170" s="1">
        <v>1.56270487006242</v>
      </c>
      <c r="N170" s="1">
        <v>302.89999999999998</v>
      </c>
      <c r="O170" s="1">
        <v>28.905845639999999</v>
      </c>
      <c r="Q170" s="1">
        <v>1.47935066432652</v>
      </c>
      <c r="R170" s="1">
        <v>312.8</v>
      </c>
      <c r="S170" s="1">
        <v>34.194698330000001</v>
      </c>
    </row>
    <row r="171" spans="1:19" x14ac:dyDescent="0.3">
      <c r="A171" s="1">
        <v>1.70976322469068</v>
      </c>
      <c r="B171" s="1">
        <v>273.39999999999998</v>
      </c>
      <c r="C171" s="1">
        <v>33.457534789999997</v>
      </c>
      <c r="E171" s="1">
        <v>1.67869787500068</v>
      </c>
      <c r="F171" s="1">
        <v>283.5</v>
      </c>
      <c r="G171" s="1">
        <v>30.619461059999999</v>
      </c>
      <c r="M171" s="1">
        <v>1.5637904192838401</v>
      </c>
      <c r="N171" s="1">
        <v>302.89999999999998</v>
      </c>
      <c r="O171" s="1">
        <v>29.113058089999999</v>
      </c>
      <c r="Q171" s="1">
        <v>1.4822034461887601</v>
      </c>
      <c r="R171" s="1">
        <v>312.8</v>
      </c>
      <c r="S171" s="1">
        <v>34.174964899999999</v>
      </c>
    </row>
    <row r="172" spans="1:19" x14ac:dyDescent="0.3">
      <c r="A172" s="1">
        <v>1.71011291702224</v>
      </c>
      <c r="B172" s="1">
        <v>273.39999999999998</v>
      </c>
      <c r="C172" s="1">
        <v>33.815399169999999</v>
      </c>
      <c r="E172" s="1">
        <v>1.6797967293295599</v>
      </c>
      <c r="F172" s="1">
        <v>283.5</v>
      </c>
      <c r="G172" s="1">
        <v>30.902322770000001</v>
      </c>
      <c r="M172" s="1">
        <v>1.56651411229494</v>
      </c>
      <c r="N172" s="1">
        <v>302.89999999999998</v>
      </c>
      <c r="O172" s="1">
        <v>29.330139160000002</v>
      </c>
      <c r="Q172" s="1">
        <v>1.48297193215401</v>
      </c>
      <c r="R172" s="1">
        <v>312.8</v>
      </c>
      <c r="S172" s="1">
        <v>34.382179260000001</v>
      </c>
    </row>
    <row r="173" spans="1:19" x14ac:dyDescent="0.3">
      <c r="A173" s="1">
        <v>1.7113615020133199</v>
      </c>
      <c r="B173" s="1">
        <v>273.39999999999998</v>
      </c>
      <c r="C173" s="1">
        <v>34.162254330000003</v>
      </c>
      <c r="E173" s="1">
        <v>1.6833409743076</v>
      </c>
      <c r="F173" s="1">
        <v>283.5</v>
      </c>
      <c r="G173" s="1">
        <v>31.214786530000001</v>
      </c>
      <c r="M173" s="1">
        <v>1.5664156447364199</v>
      </c>
      <c r="N173" s="1">
        <v>302.89999999999998</v>
      </c>
      <c r="O173" s="1">
        <v>29.497882839999999</v>
      </c>
      <c r="Q173" s="1">
        <v>1.48286344074455</v>
      </c>
      <c r="R173" s="1">
        <v>312.8</v>
      </c>
      <c r="S173" s="1">
        <v>34.592678069999998</v>
      </c>
    </row>
    <row r="174" spans="1:19" x14ac:dyDescent="0.3">
      <c r="A174" s="1">
        <v>1.71323035043516</v>
      </c>
      <c r="B174" s="1">
        <v>273.39999999999998</v>
      </c>
      <c r="C174" s="1">
        <v>34.49259567</v>
      </c>
      <c r="E174" s="1">
        <v>1.68377841502487</v>
      </c>
      <c r="F174" s="1">
        <v>283.5</v>
      </c>
      <c r="G174" s="1">
        <v>31.5963192</v>
      </c>
      <c r="M174" s="1">
        <v>1.5669398946504001</v>
      </c>
      <c r="N174" s="1">
        <v>302.89999999999998</v>
      </c>
      <c r="O174" s="1">
        <v>29.76100731</v>
      </c>
      <c r="Q174" s="1">
        <v>1.48360146311652</v>
      </c>
      <c r="R174" s="1">
        <v>312.8</v>
      </c>
      <c r="S174" s="1">
        <v>34.536766049999997</v>
      </c>
    </row>
    <row r="175" spans="1:19" x14ac:dyDescent="0.3">
      <c r="A175" s="1">
        <v>1.7146863046265799</v>
      </c>
      <c r="B175" s="1">
        <v>273.39999999999998</v>
      </c>
      <c r="C175" s="1">
        <v>34.833930969999997</v>
      </c>
      <c r="E175" s="1">
        <v>1.6831826297880299</v>
      </c>
      <c r="F175" s="1">
        <v>283.5</v>
      </c>
      <c r="G175" s="1">
        <v>31.9285183</v>
      </c>
      <c r="M175" s="1">
        <v>1.5667530801759899</v>
      </c>
      <c r="N175" s="1">
        <v>302.89999999999998</v>
      </c>
      <c r="O175" s="1">
        <v>29.892572399999999</v>
      </c>
      <c r="Q175" s="1">
        <v>1.4843099732238101</v>
      </c>
      <c r="R175" s="1">
        <v>312.8</v>
      </c>
      <c r="S175" s="1">
        <v>34.342708590000001</v>
      </c>
    </row>
    <row r="176" spans="1:19" x14ac:dyDescent="0.3">
      <c r="A176" s="1">
        <v>1.7158277729218201</v>
      </c>
      <c r="B176" s="1">
        <v>273.39999999999998</v>
      </c>
      <c r="C176" s="1">
        <v>35.16427994</v>
      </c>
      <c r="E176" s="1">
        <v>1.6830731854837699</v>
      </c>
      <c r="F176" s="1">
        <v>283.5</v>
      </c>
      <c r="G176" s="1">
        <v>32.227825160000002</v>
      </c>
      <c r="M176" s="1">
        <v>1.56956417395486</v>
      </c>
      <c r="N176" s="1">
        <v>302.89999999999998</v>
      </c>
      <c r="O176" s="1">
        <v>30.132675169999999</v>
      </c>
      <c r="Q176" s="1">
        <v>1.48355768646935</v>
      </c>
      <c r="R176" s="1">
        <v>312.8</v>
      </c>
      <c r="S176" s="1">
        <v>34.283504489999999</v>
      </c>
    </row>
    <row r="177" spans="1:19" x14ac:dyDescent="0.3">
      <c r="A177" s="1">
        <v>1.7179736063170401</v>
      </c>
      <c r="B177" s="1">
        <v>273.39999999999998</v>
      </c>
      <c r="C177" s="1">
        <v>35.500110630000002</v>
      </c>
      <c r="E177" s="1">
        <v>1.6843252936098501</v>
      </c>
      <c r="F177" s="1">
        <v>283.5</v>
      </c>
      <c r="G177" s="1">
        <v>32.543579100000002</v>
      </c>
      <c r="M177" s="1">
        <v>1.5716730700680099</v>
      </c>
      <c r="N177" s="1">
        <v>302.89999999999998</v>
      </c>
      <c r="O177" s="1">
        <v>30.244504930000002</v>
      </c>
      <c r="Q177" s="1">
        <v>1.4809367267456499</v>
      </c>
      <c r="R177" s="1">
        <v>312.8</v>
      </c>
      <c r="S177" s="1">
        <v>34.221012119999997</v>
      </c>
    </row>
    <row r="178" spans="1:19" x14ac:dyDescent="0.3">
      <c r="A178" s="1">
        <v>1.7195322710038901</v>
      </c>
      <c r="B178" s="1">
        <v>273.39999999999998</v>
      </c>
      <c r="C178" s="1">
        <v>35.857975009999997</v>
      </c>
      <c r="E178" s="1">
        <v>1.6866487944561299</v>
      </c>
      <c r="F178" s="1">
        <v>283.5</v>
      </c>
      <c r="G178" s="1">
        <v>32.803413390000003</v>
      </c>
      <c r="M178" s="1">
        <v>1.57363400171878</v>
      </c>
      <c r="N178" s="1">
        <v>302.89999999999998</v>
      </c>
      <c r="O178" s="1">
        <v>30.412248609999999</v>
      </c>
      <c r="Q178" s="1">
        <v>1.48110565627727</v>
      </c>
      <c r="R178" s="1">
        <v>312.8</v>
      </c>
      <c r="S178" s="1">
        <v>34.444671630000002</v>
      </c>
    </row>
    <row r="179" spans="1:19" x14ac:dyDescent="0.3">
      <c r="A179" s="1">
        <v>1.72081340389619</v>
      </c>
      <c r="B179" s="1">
        <v>273.39999999999998</v>
      </c>
      <c r="C179" s="1">
        <v>36.210334779999997</v>
      </c>
      <c r="E179" s="1">
        <v>1.68658792246338</v>
      </c>
      <c r="F179" s="1">
        <v>283.5</v>
      </c>
      <c r="G179" s="1">
        <v>33.092857360000004</v>
      </c>
      <c r="M179" s="1">
        <v>1.5737791519217299</v>
      </c>
      <c r="N179" s="1">
        <v>302.89999999999998</v>
      </c>
      <c r="O179" s="1">
        <v>30.57670212</v>
      </c>
      <c r="Q179" s="1">
        <v>1.4804028104451601</v>
      </c>
      <c r="R179" s="1">
        <v>312.8</v>
      </c>
      <c r="S179" s="1">
        <v>34.71766281</v>
      </c>
    </row>
    <row r="180" spans="1:19" x14ac:dyDescent="0.3">
      <c r="A180" s="1">
        <v>1.7217483475246</v>
      </c>
      <c r="B180" s="1">
        <v>273.39999999999998</v>
      </c>
      <c r="C180" s="1">
        <v>36.546169280000001</v>
      </c>
      <c r="E180" s="1">
        <v>1.6856442306163599</v>
      </c>
      <c r="F180" s="1">
        <v>283.5</v>
      </c>
      <c r="G180" s="1">
        <v>33.494121550000003</v>
      </c>
      <c r="M180" s="1">
        <v>1.5751267324526199</v>
      </c>
      <c r="N180" s="1">
        <v>302.89999999999998</v>
      </c>
      <c r="O180" s="1">
        <v>30.846406940000001</v>
      </c>
      <c r="Q180" s="1">
        <v>1.4799607309826499</v>
      </c>
      <c r="R180" s="1">
        <v>312.8</v>
      </c>
      <c r="S180" s="1">
        <v>34.951190949999997</v>
      </c>
    </row>
    <row r="181" spans="1:19" x14ac:dyDescent="0.3">
      <c r="A181" s="1">
        <v>1.72254453687783</v>
      </c>
      <c r="B181" s="1">
        <v>273.39999999999998</v>
      </c>
      <c r="C181" s="1">
        <v>36.898540500000003</v>
      </c>
      <c r="E181" s="1">
        <v>1.6856818189708</v>
      </c>
      <c r="F181" s="1">
        <v>283.5</v>
      </c>
      <c r="G181" s="1">
        <v>33.72764969</v>
      </c>
      <c r="M181" s="1">
        <v>1.5762081167958</v>
      </c>
      <c r="N181" s="1">
        <v>302.89999999999998</v>
      </c>
      <c r="O181" s="1">
        <v>31.056909560000001</v>
      </c>
      <c r="Q181" s="1">
        <v>1.4805046451950901</v>
      </c>
      <c r="R181" s="1">
        <v>312.8</v>
      </c>
      <c r="S181" s="1">
        <v>35.082752229999997</v>
      </c>
    </row>
    <row r="182" spans="1:19" x14ac:dyDescent="0.3">
      <c r="A182" s="1">
        <v>1.7243080486369899</v>
      </c>
      <c r="B182" s="1">
        <v>273.39999999999998</v>
      </c>
      <c r="C182" s="1">
        <v>37.25088882</v>
      </c>
      <c r="E182" s="1">
        <v>1.68689826904872</v>
      </c>
      <c r="F182" s="1">
        <v>283.5</v>
      </c>
      <c r="G182" s="1">
        <v>33.974330899999998</v>
      </c>
      <c r="M182" s="1">
        <v>1.5758205488858199</v>
      </c>
      <c r="N182" s="1">
        <v>302.89999999999998</v>
      </c>
      <c r="O182" s="1">
        <v>30.813516620000001</v>
      </c>
      <c r="Q182" s="1">
        <v>1.4796999545846099</v>
      </c>
      <c r="R182" s="1">
        <v>312.8</v>
      </c>
      <c r="S182" s="1">
        <v>35.385349269999999</v>
      </c>
    </row>
    <row r="183" spans="1:19" x14ac:dyDescent="0.3">
      <c r="A183" s="1">
        <v>1.7253105647765199</v>
      </c>
      <c r="B183" s="1">
        <v>273.39999999999998</v>
      </c>
      <c r="C183" s="1">
        <v>37.597743989999998</v>
      </c>
      <c r="E183" s="1">
        <v>1.6879739889918199</v>
      </c>
      <c r="F183" s="1">
        <v>283.5</v>
      </c>
      <c r="G183" s="1">
        <v>34.224300380000003</v>
      </c>
      <c r="M183" s="1">
        <v>1.5762839956983901</v>
      </c>
      <c r="N183" s="1">
        <v>302.89999999999998</v>
      </c>
      <c r="O183" s="1">
        <v>30.981260299999999</v>
      </c>
      <c r="Q183" s="1">
        <v>1.48091674067823</v>
      </c>
      <c r="R183" s="1">
        <v>312.8</v>
      </c>
      <c r="S183" s="1">
        <v>35.516914370000002</v>
      </c>
    </row>
    <row r="184" spans="1:19" x14ac:dyDescent="0.3">
      <c r="A184" s="1">
        <v>1.72651942364565</v>
      </c>
      <c r="B184" s="1">
        <v>273.39999999999998</v>
      </c>
      <c r="C184" s="1">
        <v>37.93908691</v>
      </c>
      <c r="E184" s="1">
        <v>1.68808042877</v>
      </c>
      <c r="F184" s="1">
        <v>283.5</v>
      </c>
      <c r="G184" s="1">
        <v>34.589389799999999</v>
      </c>
      <c r="M184" s="1">
        <v>1.5763240752766901</v>
      </c>
      <c r="N184" s="1">
        <v>302.89999999999998</v>
      </c>
      <c r="O184" s="1">
        <v>31.16873932</v>
      </c>
      <c r="Q184" s="1">
        <v>1.48019485752157</v>
      </c>
      <c r="R184" s="1">
        <v>312.8</v>
      </c>
      <c r="S184" s="1">
        <v>35.770172119999998</v>
      </c>
    </row>
    <row r="185" spans="1:19" x14ac:dyDescent="0.3">
      <c r="A185" s="1">
        <v>1.72796773751752</v>
      </c>
      <c r="B185" s="1">
        <v>273.39999999999998</v>
      </c>
      <c r="C185" s="1">
        <v>38.280437470000003</v>
      </c>
      <c r="E185" s="1">
        <v>1.6887963888120501</v>
      </c>
      <c r="F185" s="1">
        <v>283.5</v>
      </c>
      <c r="G185" s="1">
        <v>34.882923440048202</v>
      </c>
      <c r="M185" s="1">
        <v>1.57603806980507</v>
      </c>
      <c r="N185" s="1">
        <v>302.89999999999998</v>
      </c>
      <c r="O185" s="1">
        <v>31.385818480000001</v>
      </c>
      <c r="Q185" s="1">
        <v>1.4804708589228901</v>
      </c>
      <c r="R185" s="1">
        <v>312.8</v>
      </c>
      <c r="S185" s="1">
        <v>36.072769170000001</v>
      </c>
    </row>
    <row r="186" spans="1:19" x14ac:dyDescent="0.3">
      <c r="A186" s="1">
        <v>1.7294522408134301</v>
      </c>
      <c r="B186" s="1">
        <v>273.39999999999998</v>
      </c>
      <c r="C186" s="1">
        <v>38.627285000000001</v>
      </c>
      <c r="E186" s="1">
        <v>1.6900298120268</v>
      </c>
      <c r="F186" s="1">
        <v>283.5</v>
      </c>
      <c r="G186" s="1">
        <v>35.701070538268802</v>
      </c>
      <c r="M186" s="1">
        <v>1.57586763310184</v>
      </c>
      <c r="N186" s="1">
        <v>302.89999999999998</v>
      </c>
      <c r="O186" s="1">
        <v>31.53053856</v>
      </c>
      <c r="Q186" s="1">
        <v>1.4807097416459201</v>
      </c>
      <c r="R186" s="1">
        <v>312.8</v>
      </c>
      <c r="S186" s="1">
        <v>36.026721950000002</v>
      </c>
    </row>
    <row r="187" spans="1:19" x14ac:dyDescent="0.3">
      <c r="A187" s="1">
        <v>1.7315867827015901</v>
      </c>
      <c r="B187" s="1">
        <v>273.39999999999998</v>
      </c>
      <c r="C187" s="1">
        <v>38.963138579999999</v>
      </c>
      <c r="E187" s="1">
        <v>1.6904651378672999</v>
      </c>
      <c r="F187" s="1">
        <v>283.5</v>
      </c>
      <c r="G187" s="1">
        <v>36.386030899569803</v>
      </c>
      <c r="M187" s="1">
        <v>1.5772182694285</v>
      </c>
      <c r="N187" s="1">
        <v>302.89999999999998</v>
      </c>
      <c r="O187" s="1">
        <v>31.632501600000001</v>
      </c>
      <c r="Q187" s="1">
        <v>1.48105188440471</v>
      </c>
      <c r="R187" s="1">
        <v>312.8</v>
      </c>
      <c r="S187" s="1">
        <v>35.803062439999998</v>
      </c>
    </row>
    <row r="188" spans="1:19" x14ac:dyDescent="0.3">
      <c r="A188" s="1">
        <v>1.7326219296652801</v>
      </c>
      <c r="B188" s="1">
        <v>273.39999999999998</v>
      </c>
      <c r="C188" s="1">
        <v>39.31549072</v>
      </c>
      <c r="E188" s="1">
        <v>1.69126323524154</v>
      </c>
      <c r="F188" s="1">
        <v>283.5</v>
      </c>
      <c r="G188" s="1">
        <v>37.2327180128446</v>
      </c>
      <c r="M188" s="1">
        <v>1.5768774035981501</v>
      </c>
      <c r="N188" s="1">
        <v>302.89999999999998</v>
      </c>
      <c r="O188" s="1">
        <v>31.731172560000001</v>
      </c>
      <c r="Q188" s="1">
        <v>1.4803733068801499</v>
      </c>
      <c r="R188" s="1">
        <v>312.8</v>
      </c>
      <c r="S188" s="1">
        <v>36.092502590000002</v>
      </c>
    </row>
    <row r="189" spans="1:19" x14ac:dyDescent="0.3">
      <c r="A189" s="1">
        <v>1.7334848805154</v>
      </c>
      <c r="B189" s="1">
        <v>273.39999999999998</v>
      </c>
      <c r="C189" s="1">
        <v>39.678867339999996</v>
      </c>
      <c r="E189" s="1">
        <v>1.69126323524154</v>
      </c>
      <c r="F189" s="1">
        <v>283.5</v>
      </c>
      <c r="G189" s="1">
        <v>37.865355013212898</v>
      </c>
      <c r="M189" s="1">
        <v>1.5772571809029901</v>
      </c>
      <c r="N189" s="1">
        <v>302.89999999999998</v>
      </c>
      <c r="O189" s="1">
        <v>31.94496346</v>
      </c>
      <c r="Q189" s="1">
        <v>1.4794358456941099</v>
      </c>
      <c r="R189" s="1">
        <v>312.8</v>
      </c>
      <c r="S189" s="1">
        <v>36.016853330000004</v>
      </c>
    </row>
    <row r="190" spans="1:19" x14ac:dyDescent="0.3">
      <c r="A190" s="1">
        <v>1.7331460507612999</v>
      </c>
      <c r="B190" s="1">
        <v>273.39999999999998</v>
      </c>
      <c r="C190" s="1">
        <v>40.042228700000003</v>
      </c>
      <c r="E190" s="1">
        <v>1.69242410414954</v>
      </c>
      <c r="F190" s="1">
        <v>283.5</v>
      </c>
      <c r="G190" s="1">
        <v>38.602638735446597</v>
      </c>
      <c r="M190" s="1">
        <v>1.5772209932327199</v>
      </c>
      <c r="N190" s="1">
        <v>302.89999999999998</v>
      </c>
      <c r="O190" s="1">
        <v>31.655523299999999</v>
      </c>
      <c r="Q190" s="1">
        <v>1.4796290498143201</v>
      </c>
      <c r="R190" s="1">
        <v>312.8</v>
      </c>
      <c r="S190" s="1">
        <v>36.279979709999999</v>
      </c>
    </row>
    <row r="191" spans="1:19" x14ac:dyDescent="0.3">
      <c r="E191" s="1">
        <v>1.6920613326157901</v>
      </c>
      <c r="F191" s="1">
        <v>283.5</v>
      </c>
      <c r="G191" s="1">
        <v>39.316139111801803</v>
      </c>
      <c r="M191" s="1">
        <v>1.57639645190831</v>
      </c>
      <c r="N191" s="1">
        <v>302.89999999999998</v>
      </c>
      <c r="O191" s="1">
        <v>31.757484439999999</v>
      </c>
      <c r="Q191" s="1">
        <v>1.4789533079561501</v>
      </c>
      <c r="R191" s="1">
        <v>312.8</v>
      </c>
      <c r="S191" s="1">
        <v>36.569419860000004</v>
      </c>
    </row>
    <row r="192" spans="1:19" x14ac:dyDescent="0.3">
      <c r="E192" s="1">
        <v>1.6928594299900299</v>
      </c>
      <c r="F192" s="1">
        <v>283.5</v>
      </c>
      <c r="G192" s="1">
        <v>40.001099473102698</v>
      </c>
      <c r="M192" s="1">
        <v>1.5773147698288399</v>
      </c>
      <c r="N192" s="1">
        <v>302.89999999999998</v>
      </c>
      <c r="O192" s="1">
        <v>31.714727400000001</v>
      </c>
      <c r="Q192" s="1">
        <v>1.47897139130968</v>
      </c>
      <c r="R192" s="1">
        <v>312.8</v>
      </c>
      <c r="S192" s="1">
        <v>36.556266780000001</v>
      </c>
    </row>
    <row r="193" spans="5:19" x14ac:dyDescent="0.3">
      <c r="E193" s="1">
        <v>1.6928594299900299</v>
      </c>
      <c r="F193" s="1">
        <v>283.5</v>
      </c>
      <c r="G193" s="1">
        <v>40.4767663906729</v>
      </c>
      <c r="M193" s="1">
        <v>1.5765532675787099</v>
      </c>
      <c r="N193" s="1">
        <v>302.89999999999998</v>
      </c>
      <c r="O193" s="1">
        <v>31.84300232</v>
      </c>
      <c r="Q193" s="1">
        <v>1.4798227290461701</v>
      </c>
      <c r="R193" s="1">
        <v>312.8</v>
      </c>
      <c r="S193" s="1">
        <v>36.34247208</v>
      </c>
    </row>
    <row r="194" spans="5:19" x14ac:dyDescent="0.3">
      <c r="M194" s="1">
        <v>1.5774536833796899</v>
      </c>
      <c r="N194" s="1">
        <v>302.89999999999998</v>
      </c>
      <c r="O194" s="1">
        <v>31.741039279999999</v>
      </c>
      <c r="Q194" s="1">
        <v>1.47892237588866</v>
      </c>
      <c r="R194" s="1">
        <v>312.8</v>
      </c>
      <c r="S194" s="1">
        <v>36.464168549999997</v>
      </c>
    </row>
    <row r="195" spans="5:19" x14ac:dyDescent="0.3">
      <c r="M195" s="1">
        <v>1.5788914350800001</v>
      </c>
      <c r="N195" s="1">
        <v>302.89999999999998</v>
      </c>
      <c r="O195" s="1">
        <v>31.849578860000001</v>
      </c>
      <c r="Q195" s="1">
        <v>1.47703595893825</v>
      </c>
      <c r="R195" s="1">
        <v>312.8</v>
      </c>
      <c r="S195" s="1">
        <v>36.694408420000002</v>
      </c>
    </row>
    <row r="196" spans="5:19" x14ac:dyDescent="0.3">
      <c r="M196" s="1">
        <v>1.5785241217213499</v>
      </c>
      <c r="N196" s="1">
        <v>302.89999999999998</v>
      </c>
      <c r="O196" s="1">
        <v>32.007457729999999</v>
      </c>
      <c r="Q196" s="1">
        <v>1.4786311376239201</v>
      </c>
      <c r="R196" s="1">
        <v>312.8</v>
      </c>
      <c r="S196" s="1">
        <v>36.62533569</v>
      </c>
    </row>
    <row r="197" spans="5:19" x14ac:dyDescent="0.3">
      <c r="M197" s="1">
        <v>1.57758053406716</v>
      </c>
      <c r="N197" s="1">
        <v>302.89999999999998</v>
      </c>
      <c r="O197" s="1">
        <v>32.145599369999999</v>
      </c>
      <c r="Q197" s="1">
        <v>1.4791726871389701</v>
      </c>
      <c r="R197" s="1">
        <v>312.8</v>
      </c>
      <c r="S197" s="1">
        <v>36.576000209999997</v>
      </c>
    </row>
    <row r="198" spans="5:19" x14ac:dyDescent="0.3">
      <c r="M198" s="1">
        <v>1.5797801353096601</v>
      </c>
      <c r="N198" s="1">
        <v>302.89999999999998</v>
      </c>
      <c r="O198" s="1">
        <v>32.267292019999999</v>
      </c>
      <c r="Q198" s="1">
        <v>1.47987221944027</v>
      </c>
      <c r="R198" s="1">
        <v>312.8</v>
      </c>
      <c r="S198" s="1">
        <v>36.789791110000003</v>
      </c>
    </row>
    <row r="199" spans="5:19" x14ac:dyDescent="0.3">
      <c r="M199" s="1">
        <v>1.5792276177876099</v>
      </c>
      <c r="N199" s="1">
        <v>302.89999999999998</v>
      </c>
      <c r="O199" s="1">
        <v>32.382411959999999</v>
      </c>
      <c r="Q199" s="1">
        <v>1.4789709154320401</v>
      </c>
      <c r="R199" s="1">
        <v>312.8</v>
      </c>
      <c r="S199" s="1">
        <v>36.9673996</v>
      </c>
    </row>
    <row r="200" spans="5:19" x14ac:dyDescent="0.3">
      <c r="M200" s="1">
        <v>1.5819115497741401</v>
      </c>
      <c r="N200" s="1">
        <v>302.89999999999998</v>
      </c>
      <c r="O200" s="1">
        <v>32.599494929999999</v>
      </c>
      <c r="Q200" s="1">
        <v>1.47803771053693</v>
      </c>
      <c r="R200" s="1">
        <v>312.8</v>
      </c>
      <c r="S200" s="1">
        <v>37.056205749999997</v>
      </c>
    </row>
    <row r="201" spans="5:19" x14ac:dyDescent="0.3">
      <c r="M201" s="1">
        <v>1.5835191931391901</v>
      </c>
      <c r="N201" s="1">
        <v>302.89999999999998</v>
      </c>
      <c r="O201" s="1">
        <v>32.68829727</v>
      </c>
      <c r="Q201" s="1">
        <v>1.4762040851215801</v>
      </c>
      <c r="R201" s="1">
        <v>312.8</v>
      </c>
      <c r="S201" s="1">
        <v>37.385116580000002</v>
      </c>
    </row>
    <row r="202" spans="5:19" x14ac:dyDescent="0.3">
      <c r="M202" s="1">
        <v>1.5835016852050501</v>
      </c>
      <c r="N202" s="1">
        <v>302.89999999999998</v>
      </c>
      <c r="O202" s="1">
        <v>32.925109859999999</v>
      </c>
      <c r="Q202" s="1">
        <v>1.4766880774893201</v>
      </c>
      <c r="R202" s="1">
        <v>312.8</v>
      </c>
      <c r="S202" s="1">
        <v>37.569301609999997</v>
      </c>
    </row>
    <row r="203" spans="5:19" x14ac:dyDescent="0.3">
      <c r="M203" s="1">
        <v>1.5836184046484501</v>
      </c>
      <c r="N203" s="1">
        <v>302.89999999999998</v>
      </c>
      <c r="O203" s="1">
        <v>33.132324220000001</v>
      </c>
      <c r="Q203" s="1">
        <v>1.47873107251665</v>
      </c>
      <c r="R203" s="1">
        <v>312.8</v>
      </c>
      <c r="S203" s="1">
        <v>37.427875520000001</v>
      </c>
    </row>
    <row r="204" spans="5:19" x14ac:dyDescent="0.3">
      <c r="M204" s="1">
        <v>1.5855839185355001</v>
      </c>
      <c r="N204" s="1">
        <v>302.89999999999998</v>
      </c>
      <c r="O204" s="1">
        <v>33.303356170000001</v>
      </c>
      <c r="Q204" s="1">
        <v>1.4781219424032199</v>
      </c>
      <c r="R204" s="1">
        <v>312.8</v>
      </c>
      <c r="S204" s="1">
        <v>37.641662599999997</v>
      </c>
    </row>
    <row r="205" spans="5:19" x14ac:dyDescent="0.3">
      <c r="M205" s="1">
        <v>1.58709768426471</v>
      </c>
      <c r="N205" s="1">
        <v>302.89999999999998</v>
      </c>
      <c r="O205" s="1">
        <v>33.40202713</v>
      </c>
      <c r="Q205" s="1">
        <v>1.47913747232513</v>
      </c>
      <c r="R205" s="1">
        <v>312.8</v>
      </c>
      <c r="S205" s="1">
        <v>37.723892210000002</v>
      </c>
    </row>
    <row r="206" spans="5:19" x14ac:dyDescent="0.3">
      <c r="M206" s="1">
        <v>1.5872980378466199</v>
      </c>
      <c r="N206" s="1">
        <v>302.89999999999998</v>
      </c>
      <c r="O206" s="1">
        <v>33.599372860000003</v>
      </c>
      <c r="Q206" s="1">
        <v>1.47779072474273</v>
      </c>
      <c r="R206" s="1">
        <v>312.8</v>
      </c>
      <c r="S206" s="1">
        <v>37.996887209999997</v>
      </c>
    </row>
    <row r="207" spans="5:19" x14ac:dyDescent="0.3">
      <c r="M207" s="1">
        <v>1.5880632643189201</v>
      </c>
      <c r="N207" s="1">
        <v>302.89999999999998</v>
      </c>
      <c r="O207" s="1">
        <v>33.362560270000003</v>
      </c>
      <c r="Q207" s="1">
        <v>1.4793430503423599</v>
      </c>
      <c r="R207" s="1">
        <v>312.8</v>
      </c>
      <c r="S207" s="1">
        <v>38.095558169999997</v>
      </c>
    </row>
    <row r="208" spans="5:19" x14ac:dyDescent="0.3">
      <c r="M208" s="1">
        <v>1.5882391052247</v>
      </c>
      <c r="N208" s="1">
        <v>302.89999999999998</v>
      </c>
      <c r="O208" s="1">
        <v>33.57963943</v>
      </c>
      <c r="Q208" s="1">
        <v>1.4775075699483</v>
      </c>
      <c r="R208" s="1">
        <v>312.8</v>
      </c>
      <c r="S208" s="1">
        <v>38.174495700000001</v>
      </c>
    </row>
    <row r="209" spans="13:19" x14ac:dyDescent="0.3">
      <c r="M209" s="1">
        <v>1.58786797124984</v>
      </c>
      <c r="N209" s="1">
        <v>302.89999999999998</v>
      </c>
      <c r="O209" s="1">
        <v>33.76054001</v>
      </c>
      <c r="Q209" s="1">
        <v>1.4753660103953199</v>
      </c>
      <c r="R209" s="1">
        <v>312.8</v>
      </c>
      <c r="S209" s="1">
        <v>38.42775726</v>
      </c>
    </row>
    <row r="210" spans="13:19" x14ac:dyDescent="0.3">
      <c r="M210" s="1">
        <v>1.58687709986412</v>
      </c>
      <c r="N210" s="1">
        <v>302.89999999999998</v>
      </c>
      <c r="O210" s="1">
        <v>33.99406433</v>
      </c>
      <c r="Q210" s="1">
        <v>1.4745212585227401</v>
      </c>
      <c r="R210" s="1">
        <v>312.8</v>
      </c>
      <c r="S210" s="1">
        <v>38.345527650000001</v>
      </c>
    </row>
    <row r="211" spans="13:19" x14ac:dyDescent="0.3">
      <c r="M211" s="1">
        <v>1.5864289253414099</v>
      </c>
      <c r="N211" s="1">
        <v>302.89999999999998</v>
      </c>
      <c r="O211" s="1">
        <v>34.240745539999999</v>
      </c>
      <c r="Q211" s="1">
        <v>1.47495053705922</v>
      </c>
      <c r="R211" s="1">
        <v>312.8</v>
      </c>
      <c r="S211" s="1">
        <v>38.556030270000001</v>
      </c>
    </row>
    <row r="212" spans="13:19" x14ac:dyDescent="0.3">
      <c r="M212" s="1">
        <v>1.58630948925533</v>
      </c>
      <c r="N212" s="1">
        <v>302.89999999999998</v>
      </c>
      <c r="O212" s="1">
        <v>34.431514739999997</v>
      </c>
      <c r="Q212" s="1">
        <v>1.4734980185447899</v>
      </c>
      <c r="R212" s="1">
        <v>312.8</v>
      </c>
      <c r="S212" s="1">
        <v>38.562610630000002</v>
      </c>
    </row>
    <row r="213" spans="13:19" x14ac:dyDescent="0.3">
      <c r="M213" s="1">
        <v>1.5877563192867901</v>
      </c>
      <c r="N213" s="1">
        <v>302.89999999999998</v>
      </c>
      <c r="O213" s="1">
        <v>34.605834960000003</v>
      </c>
      <c r="Q213" s="1">
        <v>1.47449127551403</v>
      </c>
      <c r="R213" s="1">
        <v>312.8</v>
      </c>
      <c r="S213" s="1">
        <v>38.838890079999999</v>
      </c>
    </row>
    <row r="214" spans="13:19" x14ac:dyDescent="0.3">
      <c r="M214" s="1">
        <v>1.58763805351684</v>
      </c>
      <c r="N214" s="1">
        <v>302.89999999999998</v>
      </c>
      <c r="O214" s="1">
        <v>34.326263429999997</v>
      </c>
      <c r="Q214" s="1">
        <v>1.4734451902294201</v>
      </c>
      <c r="R214" s="1">
        <v>312.8</v>
      </c>
      <c r="S214" s="1">
        <v>38.990192409999999</v>
      </c>
    </row>
    <row r="215" spans="13:19" x14ac:dyDescent="0.3">
      <c r="M215" s="1">
        <v>1.5875579127350199</v>
      </c>
      <c r="N215" s="1">
        <v>302.89999999999998</v>
      </c>
      <c r="O215" s="1">
        <v>34.494007109999998</v>
      </c>
      <c r="Q215" s="1">
        <v>1.4717779756402001</v>
      </c>
      <c r="R215" s="1">
        <v>312.8</v>
      </c>
      <c r="S215" s="1">
        <v>38.911251069999999</v>
      </c>
    </row>
    <row r="216" spans="13:19" x14ac:dyDescent="0.3">
      <c r="M216" s="1">
        <v>1.5871821051937101</v>
      </c>
      <c r="N216" s="1">
        <v>302.89999999999998</v>
      </c>
      <c r="O216" s="1">
        <v>34.68477249</v>
      </c>
      <c r="Q216" s="1">
        <v>1.4722705784582599</v>
      </c>
      <c r="R216" s="1">
        <v>312.8</v>
      </c>
      <c r="S216" s="1">
        <v>39.144779210000003</v>
      </c>
    </row>
    <row r="217" spans="13:19" x14ac:dyDescent="0.3">
      <c r="M217" s="1">
        <v>1.58673510056513</v>
      </c>
      <c r="N217" s="1">
        <v>302.89999999999998</v>
      </c>
      <c r="O217" s="1">
        <v>34.895275120000001</v>
      </c>
      <c r="Q217" s="1">
        <v>1.4708822349958</v>
      </c>
      <c r="R217" s="1">
        <v>312.8</v>
      </c>
      <c r="S217" s="1">
        <v>39.09544373</v>
      </c>
    </row>
    <row r="218" spans="13:19" x14ac:dyDescent="0.3">
      <c r="M218" s="1">
        <v>1.5882153745196299</v>
      </c>
      <c r="N218" s="1">
        <v>302.89999999999998</v>
      </c>
      <c r="O218" s="1">
        <v>34.980792999999998</v>
      </c>
      <c r="Q218" s="1">
        <v>1.4698969966686599</v>
      </c>
      <c r="R218" s="1">
        <v>312.8</v>
      </c>
      <c r="S218" s="1">
        <v>39.072418210000002</v>
      </c>
    </row>
    <row r="219" spans="13:19" x14ac:dyDescent="0.3">
      <c r="M219" s="1">
        <v>1.5866989198564001</v>
      </c>
      <c r="N219" s="1">
        <v>302.89999999999998</v>
      </c>
      <c r="O219" s="1">
        <v>35.056442259999997</v>
      </c>
      <c r="Q219" s="1">
        <v>1.47066710251116</v>
      </c>
      <c r="R219" s="1">
        <v>312.8</v>
      </c>
      <c r="S219" s="1">
        <v>38.766532900000001</v>
      </c>
    </row>
    <row r="220" spans="13:19" x14ac:dyDescent="0.3">
      <c r="M220" s="1">
        <v>1.58620717081449</v>
      </c>
      <c r="N220" s="1">
        <v>302.89999999999998</v>
      </c>
      <c r="O220" s="1">
        <v>35.27022934</v>
      </c>
      <c r="Q220" s="1">
        <v>1.4695395454286899</v>
      </c>
      <c r="R220" s="1">
        <v>312.8</v>
      </c>
      <c r="S220" s="1">
        <v>38.977035520000001</v>
      </c>
    </row>
    <row r="221" spans="13:19" x14ac:dyDescent="0.3">
      <c r="M221" s="1">
        <v>1.58667868977111</v>
      </c>
      <c r="N221" s="1">
        <v>302.89999999999998</v>
      </c>
      <c r="O221" s="1">
        <v>35.579406740000003</v>
      </c>
      <c r="Q221" s="1">
        <v>1.46817111624638</v>
      </c>
      <c r="R221" s="1">
        <v>312.8</v>
      </c>
      <c r="S221" s="1">
        <v>38.782978059999998</v>
      </c>
    </row>
    <row r="222" spans="13:19" x14ac:dyDescent="0.3">
      <c r="M222" s="1">
        <v>1.5869241735139901</v>
      </c>
      <c r="N222" s="1">
        <v>302.89999999999998</v>
      </c>
      <c r="O222" s="1">
        <v>35.697811129999998</v>
      </c>
      <c r="Q222" s="1">
        <v>1.4676461053269101</v>
      </c>
      <c r="R222" s="1">
        <v>312.8</v>
      </c>
      <c r="S222" s="1">
        <v>39.019790649999997</v>
      </c>
    </row>
    <row r="223" spans="13:19" x14ac:dyDescent="0.3">
      <c r="M223" s="1">
        <v>1.5868747656323701</v>
      </c>
      <c r="N223" s="1">
        <v>302.89999999999998</v>
      </c>
      <c r="O223" s="1">
        <v>35.944496149999999</v>
      </c>
      <c r="Q223" s="1">
        <v>1.46656893485554</v>
      </c>
      <c r="R223" s="1">
        <v>312.8</v>
      </c>
      <c r="S223" s="1">
        <v>39.144779210000003</v>
      </c>
    </row>
    <row r="224" spans="13:19" x14ac:dyDescent="0.3">
      <c r="M224" s="1">
        <v>1.5870696736019201</v>
      </c>
      <c r="N224" s="1">
        <v>302.89999999999998</v>
      </c>
      <c r="O224" s="1">
        <v>36.230644230000003</v>
      </c>
      <c r="Q224" s="1">
        <v>1.4650214428166499</v>
      </c>
      <c r="R224" s="1">
        <v>312.8</v>
      </c>
      <c r="S224" s="1">
        <v>39.207271579999997</v>
      </c>
    </row>
    <row r="225" spans="13:19" x14ac:dyDescent="0.3">
      <c r="M225" s="1">
        <v>1.58804731411721</v>
      </c>
      <c r="N225" s="1">
        <v>302.89999999999998</v>
      </c>
      <c r="O225" s="1">
        <v>36.135261540000002</v>
      </c>
      <c r="Q225" s="1">
        <v>1.4630169137831199</v>
      </c>
      <c r="R225" s="1">
        <v>312.8</v>
      </c>
      <c r="S225" s="1">
        <v>39.016502379999999</v>
      </c>
    </row>
    <row r="226" spans="13:19" x14ac:dyDescent="0.3">
      <c r="M226" s="1">
        <v>1.5872715834397799</v>
      </c>
      <c r="N226" s="1">
        <v>302.89999999999998</v>
      </c>
      <c r="O226" s="1">
        <v>36.362209319999998</v>
      </c>
      <c r="Q226" s="1">
        <v>1.45910758574023</v>
      </c>
      <c r="R226" s="1">
        <v>312.8</v>
      </c>
      <c r="S226" s="1">
        <v>39.154644009999998</v>
      </c>
    </row>
    <row r="227" spans="13:19" x14ac:dyDescent="0.3">
      <c r="M227" s="1">
        <v>1.58971622185593</v>
      </c>
      <c r="N227" s="1">
        <v>302.89999999999998</v>
      </c>
      <c r="O227" s="1">
        <v>36.576000209999997</v>
      </c>
      <c r="Q227" s="1">
        <v>1.4574117968226199</v>
      </c>
      <c r="R227" s="1">
        <v>312.8</v>
      </c>
      <c r="S227" s="1">
        <v>39.240161899999997</v>
      </c>
    </row>
    <row r="228" spans="13:19" x14ac:dyDescent="0.3">
      <c r="M228" s="1">
        <v>1.59147532167098</v>
      </c>
      <c r="N228" s="1">
        <v>302.89999999999998</v>
      </c>
      <c r="O228" s="1">
        <v>36.65822601</v>
      </c>
      <c r="Q228" s="1">
        <v>1.4577350581120401</v>
      </c>
      <c r="R228" s="1">
        <v>312.8</v>
      </c>
      <c r="S228" s="1">
        <v>39.476974490000003</v>
      </c>
    </row>
    <row r="229" spans="13:19" x14ac:dyDescent="0.3">
      <c r="M229" s="1">
        <v>1.5922988326587</v>
      </c>
      <c r="N229" s="1">
        <v>302.89999999999998</v>
      </c>
      <c r="O229" s="1">
        <v>36.944377899999999</v>
      </c>
      <c r="Q229" s="1">
        <v>1.45600970379498</v>
      </c>
      <c r="R229" s="1">
        <v>312.8</v>
      </c>
      <c r="S229" s="1">
        <v>39.664455410000002</v>
      </c>
    </row>
    <row r="230" spans="13:19" x14ac:dyDescent="0.3">
      <c r="M230" s="1">
        <v>1.59286326232755</v>
      </c>
      <c r="N230" s="1">
        <v>302.89999999999998</v>
      </c>
      <c r="O230" s="1">
        <v>36.717430110000002</v>
      </c>
      <c r="Q230" s="1">
        <v>1.45439236730786</v>
      </c>
      <c r="R230" s="1">
        <v>312.8</v>
      </c>
      <c r="S230" s="1">
        <v>39.749969479999997</v>
      </c>
    </row>
    <row r="231" spans="13:19" x14ac:dyDescent="0.3">
      <c r="M231" s="1">
        <v>1.5926244210654299</v>
      </c>
      <c r="N231" s="1">
        <v>302.89999999999998</v>
      </c>
      <c r="O231" s="1">
        <v>36.431278229999997</v>
      </c>
      <c r="Q231" s="1">
        <v>1.4518741301374101</v>
      </c>
      <c r="R231" s="1">
        <v>312.8</v>
      </c>
      <c r="S231" s="1">
        <v>39.957180020000003</v>
      </c>
    </row>
    <row r="232" spans="13:19" x14ac:dyDescent="0.3">
      <c r="M232" s="1">
        <v>1.59172233751285</v>
      </c>
      <c r="N232" s="1">
        <v>302.89999999999998</v>
      </c>
      <c r="O232" s="1">
        <v>36.59244537</v>
      </c>
      <c r="Q232" s="1">
        <v>1.4502195177877399</v>
      </c>
      <c r="R232" s="1">
        <v>312.8</v>
      </c>
      <c r="S232" s="1">
        <v>40.2564888</v>
      </c>
    </row>
    <row r="233" spans="13:19" x14ac:dyDescent="0.3">
      <c r="M233" s="1">
        <v>1.59017564783746</v>
      </c>
      <c r="N233" s="1">
        <v>302.89999999999998</v>
      </c>
      <c r="O233" s="1">
        <v>36.651649480000003</v>
      </c>
    </row>
    <row r="234" spans="13:19" x14ac:dyDescent="0.3">
      <c r="M234" s="1">
        <v>1.5895629492374199</v>
      </c>
      <c r="N234" s="1">
        <v>302.89999999999998</v>
      </c>
      <c r="O234" s="1">
        <v>36.82925797</v>
      </c>
    </row>
    <row r="235" spans="13:19" x14ac:dyDescent="0.3">
      <c r="M235" s="1">
        <v>1.58869698888582</v>
      </c>
      <c r="N235" s="1">
        <v>302.89999999999998</v>
      </c>
      <c r="O235" s="1">
        <v>37.010158539999999</v>
      </c>
    </row>
    <row r="236" spans="13:19" x14ac:dyDescent="0.3">
      <c r="M236" s="1">
        <v>1.5885246508450599</v>
      </c>
      <c r="N236" s="1">
        <v>302.89999999999998</v>
      </c>
      <c r="O236" s="1">
        <v>37.246974950000002</v>
      </c>
    </row>
    <row r="237" spans="13:19" x14ac:dyDescent="0.3">
      <c r="M237" s="1">
        <v>1.5900822847334199</v>
      </c>
      <c r="N237" s="1">
        <v>302.89999999999998</v>
      </c>
      <c r="O237" s="1">
        <v>37.329200739999997</v>
      </c>
    </row>
    <row r="238" spans="13:19" x14ac:dyDescent="0.3">
      <c r="M238" s="1">
        <v>1.5894372964558401</v>
      </c>
      <c r="N238" s="1">
        <v>302.89999999999998</v>
      </c>
      <c r="O238" s="1">
        <v>37.598903659999998</v>
      </c>
    </row>
    <row r="239" spans="13:19" x14ac:dyDescent="0.3">
      <c r="M239" s="1">
        <v>1.5918339804869099</v>
      </c>
      <c r="N239" s="1">
        <v>302.89999999999998</v>
      </c>
      <c r="O239" s="1">
        <v>37.881767269999997</v>
      </c>
    </row>
    <row r="240" spans="13:19" x14ac:dyDescent="0.3">
      <c r="M240" s="1">
        <v>1.5926493166256499</v>
      </c>
      <c r="N240" s="1">
        <v>302.89999999999998</v>
      </c>
      <c r="O240" s="1">
        <v>38.105426790000003</v>
      </c>
    </row>
    <row r="241" spans="13:15" x14ac:dyDescent="0.3">
      <c r="M241" s="1">
        <v>1.59198880203218</v>
      </c>
      <c r="N241" s="1">
        <v>302.89999999999998</v>
      </c>
      <c r="O241" s="1">
        <v>38.338951110000004</v>
      </c>
    </row>
    <row r="242" spans="13:15" x14ac:dyDescent="0.3">
      <c r="M242" s="1">
        <v>1.59137651498739</v>
      </c>
      <c r="N242" s="1">
        <v>302.89999999999998</v>
      </c>
      <c r="O242" s="1">
        <v>38.595500950000002</v>
      </c>
    </row>
    <row r="243" spans="13:15" x14ac:dyDescent="0.3">
      <c r="M243" s="1">
        <v>1.5898247572542199</v>
      </c>
      <c r="N243" s="1">
        <v>302.89999999999998</v>
      </c>
      <c r="O243" s="1">
        <v>38.713905330000003</v>
      </c>
    </row>
    <row r="244" spans="13:15" x14ac:dyDescent="0.3">
      <c r="M244" s="1">
        <v>1.59179157952656</v>
      </c>
      <c r="N244" s="1">
        <v>302.89999999999998</v>
      </c>
      <c r="O244" s="1">
        <v>38.852046970000004</v>
      </c>
    </row>
    <row r="245" spans="13:15" x14ac:dyDescent="0.3">
      <c r="M245" s="1">
        <v>1.5899624684906399</v>
      </c>
      <c r="N245" s="1">
        <v>302.89999999999998</v>
      </c>
      <c r="O245" s="1">
        <v>38.924407960000003</v>
      </c>
    </row>
    <row r="246" spans="13:15" x14ac:dyDescent="0.3">
      <c r="M246" s="1">
        <v>1.5887421156772401</v>
      </c>
      <c r="N246" s="1">
        <v>302.89999999999998</v>
      </c>
      <c r="O246" s="1">
        <v>39.09544373</v>
      </c>
    </row>
    <row r="247" spans="13:15" x14ac:dyDescent="0.3">
      <c r="M247" s="1">
        <v>1.59012274210023</v>
      </c>
      <c r="N247" s="1">
        <v>302.89999999999998</v>
      </c>
      <c r="O247" s="1">
        <v>39.154644009999998</v>
      </c>
    </row>
    <row r="248" spans="13:15" x14ac:dyDescent="0.3">
      <c r="M248" s="1">
        <v>1.5888743836208501</v>
      </c>
      <c r="N248" s="1">
        <v>302.89999999999998</v>
      </c>
      <c r="O248" s="1">
        <v>39.213848110000001</v>
      </c>
    </row>
    <row r="249" spans="13:15" x14ac:dyDescent="0.3">
      <c r="M249" s="1">
        <v>1.58740774567631</v>
      </c>
      <c r="N249" s="1">
        <v>302.89999999999998</v>
      </c>
      <c r="O249" s="1">
        <v>39.263183589999997</v>
      </c>
    </row>
    <row r="250" spans="13:15" x14ac:dyDescent="0.3">
      <c r="M250" s="1">
        <v>1.58607489570908</v>
      </c>
      <c r="N250" s="1">
        <v>302.89999999999998</v>
      </c>
      <c r="O250" s="1">
        <v>39.305942539999997</v>
      </c>
    </row>
    <row r="251" spans="13:15" x14ac:dyDescent="0.3">
      <c r="M251" s="1">
        <v>1.58533142519938</v>
      </c>
      <c r="N251" s="1">
        <v>302.89999999999998</v>
      </c>
      <c r="O251" s="1">
        <v>39.348701480000003</v>
      </c>
    </row>
    <row r="252" spans="13:15" x14ac:dyDescent="0.3">
      <c r="M252" s="1">
        <v>1.5873318839052399</v>
      </c>
      <c r="N252" s="1">
        <v>302.89999999999998</v>
      </c>
      <c r="O252" s="1">
        <v>39.549335480000003</v>
      </c>
    </row>
    <row r="253" spans="13:15" x14ac:dyDescent="0.3">
      <c r="M253" s="1">
        <v>1.5871478699957</v>
      </c>
      <c r="N253" s="1">
        <v>302.89999999999998</v>
      </c>
      <c r="O253" s="1">
        <v>39.812461849999998</v>
      </c>
    </row>
    <row r="254" spans="13:15" x14ac:dyDescent="0.3">
      <c r="M254" s="1">
        <v>1.58822354410791</v>
      </c>
      <c r="N254" s="1">
        <v>302.89999999999998</v>
      </c>
      <c r="O254" s="1">
        <v>39.805885310000001</v>
      </c>
    </row>
    <row r="255" spans="13:15" x14ac:dyDescent="0.3">
      <c r="M255" s="1">
        <v>1.58691717082512</v>
      </c>
      <c r="N255" s="1">
        <v>302.89999999999998</v>
      </c>
      <c r="O255" s="1">
        <v>39.861797330000002</v>
      </c>
    </row>
    <row r="256" spans="13:15" x14ac:dyDescent="0.3">
      <c r="M256" s="1">
        <v>1.58549949486759</v>
      </c>
      <c r="N256" s="1">
        <v>302.89999999999998</v>
      </c>
      <c r="O256" s="1">
        <v>39.911132809999998</v>
      </c>
    </row>
    <row r="257" spans="13:15" x14ac:dyDescent="0.3">
      <c r="M257" s="1">
        <v>1.5867070896961799</v>
      </c>
      <c r="N257" s="1">
        <v>302.89999999999998</v>
      </c>
      <c r="O257" s="1">
        <v>39.786151889999999</v>
      </c>
    </row>
    <row r="258" spans="13:15" x14ac:dyDescent="0.3">
      <c r="M258" s="1">
        <v>1.5850330223154401</v>
      </c>
      <c r="N258" s="1">
        <v>302.89999999999998</v>
      </c>
      <c r="O258" s="1">
        <v>39.845352169999998</v>
      </c>
    </row>
    <row r="259" spans="13:15" x14ac:dyDescent="0.3">
      <c r="M259" s="1">
        <v>1.5836312437703399</v>
      </c>
      <c r="N259" s="1">
        <v>302.89999999999998</v>
      </c>
      <c r="O259" s="1">
        <v>39.884822849999999</v>
      </c>
    </row>
    <row r="260" spans="13:15" x14ac:dyDescent="0.3">
      <c r="M260" s="1">
        <v>1.58219129594022</v>
      </c>
      <c r="N260" s="1">
        <v>302.89999999999998</v>
      </c>
      <c r="O260" s="1">
        <v>40.055854799999999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7E8F-5F7A-41B0-A1C1-AE4FD89673D1}">
  <dimension ref="A1:AE154"/>
  <sheetViews>
    <sheetView workbookViewId="0"/>
  </sheetViews>
  <sheetFormatPr baseColWidth="10" defaultRowHeight="14.4" x14ac:dyDescent="0.3"/>
  <cols>
    <col min="1" max="16384" width="11.5546875" style="1"/>
  </cols>
  <sheetData>
    <row r="1" spans="1:31" x14ac:dyDescent="0.3">
      <c r="A1" s="3" t="s">
        <v>8</v>
      </c>
      <c r="B1" s="3"/>
      <c r="C1" s="3"/>
      <c r="D1" s="4"/>
    </row>
    <row r="2" spans="1:31" x14ac:dyDescent="0.3">
      <c r="A2" s="2" t="s">
        <v>1</v>
      </c>
      <c r="B2" s="2" t="s">
        <v>2</v>
      </c>
      <c r="C2" s="2" t="s">
        <v>3</v>
      </c>
      <c r="E2" s="2" t="s">
        <v>1</v>
      </c>
      <c r="F2" s="2" t="s">
        <v>2</v>
      </c>
      <c r="G2" s="2" t="s">
        <v>3</v>
      </c>
      <c r="I2" s="2" t="s">
        <v>1</v>
      </c>
      <c r="J2" s="2" t="s">
        <v>2</v>
      </c>
      <c r="K2" s="2" t="s">
        <v>3</v>
      </c>
      <c r="M2" s="2" t="s">
        <v>1</v>
      </c>
      <c r="N2" s="2" t="s">
        <v>2</v>
      </c>
      <c r="O2" s="2" t="s">
        <v>3</v>
      </c>
      <c r="Q2" s="2" t="s">
        <v>1</v>
      </c>
      <c r="R2" s="2" t="s">
        <v>2</v>
      </c>
      <c r="S2" s="2" t="s">
        <v>3</v>
      </c>
      <c r="U2" s="2" t="s">
        <v>1</v>
      </c>
      <c r="V2" s="2" t="s">
        <v>2</v>
      </c>
      <c r="W2" s="2" t="s">
        <v>3</v>
      </c>
      <c r="Y2" s="2" t="s">
        <v>1</v>
      </c>
      <c r="Z2" s="2" t="s">
        <v>2</v>
      </c>
      <c r="AA2" s="2" t="s">
        <v>3</v>
      </c>
      <c r="AC2" s="2" t="s">
        <v>1</v>
      </c>
      <c r="AD2" s="2" t="s">
        <v>2</v>
      </c>
      <c r="AE2" s="2" t="s">
        <v>3</v>
      </c>
    </row>
    <row r="3" spans="1:31" x14ac:dyDescent="0.3">
      <c r="A3" s="2" t="s">
        <v>0</v>
      </c>
      <c r="B3" s="2" t="s">
        <v>4</v>
      </c>
      <c r="C3" s="2" t="s">
        <v>5</v>
      </c>
      <c r="E3" s="2" t="s">
        <v>0</v>
      </c>
      <c r="F3" s="2" t="s">
        <v>4</v>
      </c>
      <c r="G3" s="2" t="s">
        <v>5</v>
      </c>
      <c r="I3" s="2" t="s">
        <v>0</v>
      </c>
      <c r="J3" s="2" t="s">
        <v>4</v>
      </c>
      <c r="K3" s="2" t="s">
        <v>5</v>
      </c>
      <c r="M3" s="2" t="s">
        <v>0</v>
      </c>
      <c r="N3" s="2" t="s">
        <v>4</v>
      </c>
      <c r="O3" s="2" t="s">
        <v>5</v>
      </c>
      <c r="Q3" s="2" t="s">
        <v>0</v>
      </c>
      <c r="R3" s="2" t="s">
        <v>4</v>
      </c>
      <c r="S3" s="2" t="s">
        <v>5</v>
      </c>
      <c r="U3" s="2" t="s">
        <v>0</v>
      </c>
      <c r="V3" s="2" t="s">
        <v>4</v>
      </c>
      <c r="W3" s="2" t="s">
        <v>5</v>
      </c>
      <c r="Y3" s="2" t="s">
        <v>0</v>
      </c>
      <c r="Z3" s="2" t="s">
        <v>4</v>
      </c>
      <c r="AA3" s="2" t="s">
        <v>5</v>
      </c>
      <c r="AC3" s="2" t="s">
        <v>0</v>
      </c>
      <c r="AD3" s="2" t="s">
        <v>4</v>
      </c>
      <c r="AE3" s="2" t="s">
        <v>5</v>
      </c>
    </row>
    <row r="4" spans="1:31" x14ac:dyDescent="0.3">
      <c r="A4" s="1">
        <v>1.734</v>
      </c>
      <c r="B4" s="1">
        <v>273.39999999999998</v>
      </c>
      <c r="C4" s="1">
        <v>40.042228700000003</v>
      </c>
      <c r="E4" s="1">
        <v>1.7756700000000001</v>
      </c>
      <c r="F4" s="1">
        <v>283.5</v>
      </c>
      <c r="G4" s="1">
        <v>40.658969999999997</v>
      </c>
      <c r="I4" s="1">
        <v>1.69657558640872</v>
      </c>
      <c r="J4" s="1">
        <v>293.10000000000002</v>
      </c>
      <c r="K4" s="1">
        <v>40.197284699999997</v>
      </c>
      <c r="M4" s="1">
        <v>1.6963568730831899</v>
      </c>
      <c r="N4" s="1">
        <v>305.89999999999998</v>
      </c>
      <c r="O4" s="1">
        <v>40.055854799999999</v>
      </c>
      <c r="Q4" s="1">
        <v>1.7375486415877099</v>
      </c>
      <c r="R4" s="1">
        <v>312.8</v>
      </c>
      <c r="S4" s="1">
        <v>40.2564888</v>
      </c>
      <c r="U4" s="1">
        <v>1.7314455307616401</v>
      </c>
      <c r="V4" s="1">
        <v>322.89999999999998</v>
      </c>
      <c r="W4" s="1">
        <v>53.998298650000002</v>
      </c>
      <c r="Y4" s="1">
        <v>1.5022363445393401</v>
      </c>
      <c r="Z4" s="1">
        <v>343</v>
      </c>
      <c r="AA4" s="1">
        <v>81.020416260000005</v>
      </c>
      <c r="AC4" s="1">
        <v>1.24304461587791</v>
      </c>
      <c r="AD4" s="1">
        <v>363</v>
      </c>
      <c r="AE4" s="1">
        <v>88.05107117</v>
      </c>
    </row>
    <row r="5" spans="1:31" x14ac:dyDescent="0.3">
      <c r="A5" s="1">
        <v>1.7337039799779901</v>
      </c>
      <c r="B5" s="1">
        <v>273.39999999999998</v>
      </c>
      <c r="C5" s="1">
        <v>39.601787569999999</v>
      </c>
      <c r="E5" s="1">
        <v>1.7731600000000001</v>
      </c>
      <c r="F5" s="1">
        <v>283.5</v>
      </c>
      <c r="G5" s="1">
        <v>39.61063</v>
      </c>
      <c r="I5" s="1">
        <v>1.6917001633447699</v>
      </c>
      <c r="J5" s="1">
        <v>293.10000000000002</v>
      </c>
      <c r="K5" s="1">
        <v>39.15135574</v>
      </c>
      <c r="M5" s="1">
        <v>1.69319319762401</v>
      </c>
      <c r="N5" s="1">
        <v>305.89999999999998</v>
      </c>
      <c r="O5" s="1">
        <v>39.562492370000001</v>
      </c>
      <c r="Q5" s="1">
        <v>1.7323086155876399</v>
      </c>
      <c r="R5" s="1">
        <v>312.8</v>
      </c>
      <c r="S5" s="1">
        <v>39.766414640000001</v>
      </c>
      <c r="U5" s="1">
        <v>1.7213733543043701</v>
      </c>
      <c r="V5" s="1">
        <v>322.89999999999998</v>
      </c>
      <c r="W5" s="1">
        <v>52.80765152</v>
      </c>
      <c r="Y5" s="1">
        <v>1.48812984178101</v>
      </c>
      <c r="Z5" s="1">
        <v>343</v>
      </c>
      <c r="AA5" s="1">
        <v>78.603462219999997</v>
      </c>
      <c r="AC5" s="1">
        <v>1.2300099843461201</v>
      </c>
      <c r="AD5" s="1">
        <v>363</v>
      </c>
      <c r="AE5" s="1">
        <v>85.590072629999995</v>
      </c>
    </row>
    <row r="6" spans="1:31" x14ac:dyDescent="0.3">
      <c r="A6" s="1">
        <v>1.73291728759986</v>
      </c>
      <c r="B6" s="1">
        <v>273.39999999999998</v>
      </c>
      <c r="C6" s="1">
        <v>39.139316559999997</v>
      </c>
      <c r="E6" s="1">
        <v>1.7756700000000001</v>
      </c>
      <c r="F6" s="1">
        <v>283.5</v>
      </c>
      <c r="G6" s="1">
        <v>38.625439999999998</v>
      </c>
      <c r="I6" s="1">
        <v>1.68817273333897</v>
      </c>
      <c r="J6" s="1">
        <v>293.10000000000002</v>
      </c>
      <c r="K6" s="1">
        <v>37.76335907</v>
      </c>
      <c r="M6" s="1">
        <v>1.69232355008946</v>
      </c>
      <c r="N6" s="1">
        <v>305.89999999999998</v>
      </c>
      <c r="O6" s="1">
        <v>38.848758699999998</v>
      </c>
      <c r="Q6" s="1">
        <v>1.7272880680227001</v>
      </c>
      <c r="R6" s="1">
        <v>312.8</v>
      </c>
      <c r="S6" s="1">
        <v>39.365146639999999</v>
      </c>
      <c r="U6" s="1">
        <v>1.7110842970872999</v>
      </c>
      <c r="V6" s="1">
        <v>322.89999999999998</v>
      </c>
      <c r="W6" s="1">
        <v>51.538059230000002</v>
      </c>
      <c r="Y6" s="1">
        <v>1.48175788840661</v>
      </c>
      <c r="Z6" s="1">
        <v>343</v>
      </c>
      <c r="AA6" s="1">
        <v>76.153465269999998</v>
      </c>
      <c r="AC6" s="1">
        <v>1.2003983950434101</v>
      </c>
      <c r="AD6" s="1">
        <v>363</v>
      </c>
      <c r="AE6" s="1">
        <v>83.228164669999998</v>
      </c>
    </row>
    <row r="7" spans="1:31" x14ac:dyDescent="0.3">
      <c r="A7" s="1">
        <v>1.7332002222740199</v>
      </c>
      <c r="B7" s="1">
        <v>273.39999999999998</v>
      </c>
      <c r="C7" s="1">
        <v>38.693363189999999</v>
      </c>
      <c r="E7" s="1">
        <v>1.7756700000000001</v>
      </c>
      <c r="F7" s="1">
        <v>283.5</v>
      </c>
      <c r="G7" s="1">
        <v>37.513939999999998</v>
      </c>
      <c r="I7" s="1">
        <v>1.6821998360257899</v>
      </c>
      <c r="J7" s="1">
        <v>293.10000000000002</v>
      </c>
      <c r="K7" s="1">
        <v>36.654937740000001</v>
      </c>
      <c r="M7" s="1">
        <v>1.69091106970123</v>
      </c>
      <c r="N7" s="1">
        <v>305.89999999999998</v>
      </c>
      <c r="O7" s="1">
        <v>38.43762589</v>
      </c>
      <c r="Q7" s="1">
        <v>1.7228614467190599</v>
      </c>
      <c r="R7" s="1">
        <v>312.8</v>
      </c>
      <c r="S7" s="1">
        <v>38.42775726</v>
      </c>
      <c r="U7" s="1">
        <v>1.700961819175</v>
      </c>
      <c r="V7" s="1">
        <v>322.89999999999998</v>
      </c>
      <c r="W7" s="1">
        <v>50.265182500000002</v>
      </c>
      <c r="Y7" s="1">
        <v>1.47901223274993</v>
      </c>
      <c r="Z7" s="1">
        <v>343</v>
      </c>
      <c r="AA7" s="1">
        <v>73.681449889999996</v>
      </c>
      <c r="AC7" s="1">
        <v>1.1584655789554701</v>
      </c>
      <c r="AD7" s="1">
        <v>363</v>
      </c>
      <c r="AE7" s="1">
        <v>80.915809629999998</v>
      </c>
    </row>
    <row r="8" spans="1:31" x14ac:dyDescent="0.3">
      <c r="A8" s="1">
        <v>1.73327716642191</v>
      </c>
      <c r="B8" s="1">
        <v>273.39999999999998</v>
      </c>
      <c r="C8" s="1">
        <v>38.252914429999997</v>
      </c>
      <c r="E8" s="1">
        <v>1.7731600000000001</v>
      </c>
      <c r="F8" s="1">
        <v>283.5</v>
      </c>
      <c r="G8" s="1">
        <v>36.389809999999997</v>
      </c>
      <c r="I8" s="1">
        <v>1.67844903126307</v>
      </c>
      <c r="J8" s="1">
        <v>293.10000000000002</v>
      </c>
      <c r="K8" s="1">
        <v>35.266941070000001</v>
      </c>
      <c r="M8" s="1">
        <v>1.6905733135702801</v>
      </c>
      <c r="N8" s="1">
        <v>305.89999999999998</v>
      </c>
      <c r="O8" s="1">
        <v>37.87519073</v>
      </c>
      <c r="Q8" s="1">
        <v>1.7190584452697899</v>
      </c>
      <c r="R8" s="1">
        <v>312.8</v>
      </c>
      <c r="S8" s="1">
        <v>38.230411529999998</v>
      </c>
      <c r="U8" s="1">
        <v>1.69128200508653</v>
      </c>
      <c r="V8" s="1">
        <v>322.89999999999998</v>
      </c>
      <c r="W8" s="1">
        <v>49.104137420000001</v>
      </c>
      <c r="Y8" s="1">
        <v>1.4746012603752501</v>
      </c>
      <c r="Z8" s="1">
        <v>343</v>
      </c>
      <c r="AA8" s="1">
        <v>71.24797058</v>
      </c>
      <c r="AC8" s="1">
        <v>1.1050427831559799</v>
      </c>
      <c r="AD8" s="1">
        <v>363</v>
      </c>
      <c r="AE8" s="1">
        <v>78.702560419999998</v>
      </c>
    </row>
    <row r="9" spans="1:31" x14ac:dyDescent="0.3">
      <c r="A9" s="1">
        <v>1.7333192613755899</v>
      </c>
      <c r="B9" s="1">
        <v>273.39999999999998</v>
      </c>
      <c r="C9" s="1">
        <v>37.806957240000003</v>
      </c>
      <c r="E9" s="1">
        <v>1.77014</v>
      </c>
      <c r="F9" s="1">
        <v>283.5</v>
      </c>
      <c r="G9" s="1">
        <v>35.341459999999998</v>
      </c>
      <c r="I9" s="1">
        <v>1.6725247072437399</v>
      </c>
      <c r="J9" s="1">
        <v>293.10000000000002</v>
      </c>
      <c r="K9" s="1">
        <v>34.105892179999998</v>
      </c>
      <c r="M9" s="1">
        <v>1.68779996800495</v>
      </c>
      <c r="N9" s="1">
        <v>305.89999999999998</v>
      </c>
      <c r="O9" s="1">
        <v>37.427875520000001</v>
      </c>
      <c r="Q9" s="1">
        <v>1.7141084831832201</v>
      </c>
      <c r="R9" s="1">
        <v>312.8</v>
      </c>
      <c r="S9" s="1">
        <v>37.845588679999999</v>
      </c>
      <c r="U9" s="1">
        <v>1.68110230776364</v>
      </c>
      <c r="V9" s="1">
        <v>322.89999999999998</v>
      </c>
      <c r="W9" s="1">
        <v>47.870727539999997</v>
      </c>
      <c r="Y9" s="1">
        <v>1.4660933266171901</v>
      </c>
      <c r="Z9" s="1">
        <v>343</v>
      </c>
      <c r="AA9" s="1">
        <v>68.797973630000001</v>
      </c>
      <c r="AC9" s="1">
        <v>1.04064442115654</v>
      </c>
      <c r="AD9" s="1">
        <v>363</v>
      </c>
      <c r="AE9" s="1">
        <v>76.527854919999996</v>
      </c>
    </row>
    <row r="10" spans="1:31" x14ac:dyDescent="0.3">
      <c r="A10" s="1">
        <v>1.7327420053014599</v>
      </c>
      <c r="B10" s="1">
        <v>273.39999999999998</v>
      </c>
      <c r="C10" s="1">
        <v>37.377525329999997</v>
      </c>
      <c r="E10" s="1">
        <v>1.77014</v>
      </c>
      <c r="F10" s="1">
        <v>283.5</v>
      </c>
      <c r="G10" s="1">
        <v>34.356270000000002</v>
      </c>
      <c r="I10" s="1">
        <v>1.66912564074159</v>
      </c>
      <c r="J10" s="1">
        <v>293.10000000000002</v>
      </c>
      <c r="K10" s="1">
        <v>32.915245059999997</v>
      </c>
      <c r="M10" s="1">
        <v>1.6867986923630001</v>
      </c>
      <c r="N10" s="1">
        <v>305.89999999999998</v>
      </c>
      <c r="O10" s="1">
        <v>36.957530980000001</v>
      </c>
      <c r="Q10" s="1">
        <v>1.70935717623329</v>
      </c>
      <c r="R10" s="1">
        <v>312.8</v>
      </c>
      <c r="S10" s="1">
        <v>37.418006900000002</v>
      </c>
      <c r="U10" s="1">
        <v>1.6702894998002999</v>
      </c>
      <c r="V10" s="1">
        <v>322.89999999999998</v>
      </c>
      <c r="W10" s="1">
        <v>46.673500060000002</v>
      </c>
      <c r="Y10" s="1">
        <v>1.4547374190142801</v>
      </c>
      <c r="Z10" s="1">
        <v>343</v>
      </c>
      <c r="AA10" s="1">
        <v>66.375518799999995</v>
      </c>
      <c r="AC10" s="1">
        <v>0.96125115226827196</v>
      </c>
      <c r="AD10" s="1">
        <v>363</v>
      </c>
      <c r="AE10" s="1">
        <v>74.463249210000001</v>
      </c>
    </row>
    <row r="11" spans="1:31" x14ac:dyDescent="0.3">
      <c r="A11" s="1">
        <v>1.73109162969316</v>
      </c>
      <c r="B11" s="1">
        <v>273.39999999999998</v>
      </c>
      <c r="C11" s="1">
        <v>36.93156433</v>
      </c>
      <c r="E11" s="1">
        <v>1.7670019715834999</v>
      </c>
      <c r="F11" s="1">
        <v>283.5</v>
      </c>
      <c r="G11" s="1">
        <v>33.846057889999997</v>
      </c>
      <c r="I11" s="1">
        <v>1.66321647287871</v>
      </c>
      <c r="J11" s="1">
        <v>293.10000000000002</v>
      </c>
      <c r="K11" s="1">
        <v>31.862735749999999</v>
      </c>
      <c r="M11" s="1">
        <v>1.68595383805066</v>
      </c>
      <c r="N11" s="1">
        <v>305.89999999999998</v>
      </c>
      <c r="O11" s="1">
        <v>36.319450379999999</v>
      </c>
      <c r="Q11" s="1">
        <v>1.70729557730751</v>
      </c>
      <c r="R11" s="1">
        <v>312.8</v>
      </c>
      <c r="S11" s="1">
        <v>36.990425109999997</v>
      </c>
      <c r="U11" s="1">
        <v>1.6600896109034</v>
      </c>
      <c r="V11" s="1">
        <v>322.89999999999998</v>
      </c>
      <c r="W11" s="1">
        <v>45.499294280000001</v>
      </c>
      <c r="Y11" s="1">
        <v>1.4399796080649701</v>
      </c>
      <c r="Z11" s="1">
        <v>343</v>
      </c>
      <c r="AA11" s="1">
        <v>63.953056340000003</v>
      </c>
      <c r="AC11" s="1">
        <v>0.87519238265191801</v>
      </c>
      <c r="AD11" s="1">
        <v>363</v>
      </c>
      <c r="AE11" s="1">
        <v>72.387626650000001</v>
      </c>
    </row>
    <row r="12" spans="1:31" x14ac:dyDescent="0.3">
      <c r="A12" s="1">
        <v>1.7305491985099299</v>
      </c>
      <c r="B12" s="1">
        <v>273.39999999999998</v>
      </c>
      <c r="C12" s="1">
        <v>36.507633210000002</v>
      </c>
      <c r="E12" s="1">
        <v>1.76469818988897</v>
      </c>
      <c r="F12" s="1">
        <v>283.5</v>
      </c>
      <c r="G12" s="1">
        <v>33.392162319999997</v>
      </c>
      <c r="I12" s="1">
        <v>1.6581261242691501</v>
      </c>
      <c r="J12" s="1">
        <v>293.10000000000002</v>
      </c>
      <c r="K12" s="1">
        <v>30.464874269999999</v>
      </c>
      <c r="M12" s="1">
        <v>1.6837647768673101</v>
      </c>
      <c r="N12" s="1">
        <v>305.89999999999998</v>
      </c>
      <c r="O12" s="1">
        <v>35.786617280000002</v>
      </c>
      <c r="Q12" s="1">
        <v>1.7054459252243801</v>
      </c>
      <c r="R12" s="1">
        <v>312.8</v>
      </c>
      <c r="S12" s="1">
        <v>36.602314</v>
      </c>
      <c r="U12" s="1">
        <v>1.64929879334449</v>
      </c>
      <c r="V12" s="1">
        <v>322.89999999999998</v>
      </c>
      <c r="W12" s="1">
        <v>44.298782350000003</v>
      </c>
      <c r="Y12" s="1">
        <v>1.42223904551946</v>
      </c>
      <c r="Z12" s="1">
        <v>343</v>
      </c>
      <c r="AA12" s="1">
        <v>61.585643769999997</v>
      </c>
      <c r="AC12" s="1">
        <v>0.792937732707925</v>
      </c>
      <c r="AD12" s="1">
        <v>363</v>
      </c>
      <c r="AE12" s="1">
        <v>70.284492490000005</v>
      </c>
    </row>
    <row r="13" spans="1:31" x14ac:dyDescent="0.3">
      <c r="A13" s="1">
        <v>1.73062580175007</v>
      </c>
      <c r="B13" s="1">
        <v>273.39999999999998</v>
      </c>
      <c r="C13" s="1">
        <v>36.067192079999998</v>
      </c>
      <c r="E13" s="1">
        <v>1.7642862660716701</v>
      </c>
      <c r="F13" s="1">
        <v>283.5</v>
      </c>
      <c r="G13" s="1">
        <v>32.763946529999998</v>
      </c>
      <c r="I13" s="1">
        <v>1.65161371129857</v>
      </c>
      <c r="J13" s="1">
        <v>293.10000000000002</v>
      </c>
      <c r="K13" s="1">
        <v>29.38276291</v>
      </c>
      <c r="M13" s="1">
        <v>1.68071627417236</v>
      </c>
      <c r="N13" s="1">
        <v>305.89999999999998</v>
      </c>
      <c r="O13" s="1">
        <v>35.24391937</v>
      </c>
      <c r="Q13" s="1">
        <v>1.7002844475607599</v>
      </c>
      <c r="R13" s="1">
        <v>312.8</v>
      </c>
      <c r="S13" s="1">
        <v>36.178020480000001</v>
      </c>
      <c r="U13" s="1">
        <v>1.6386138866737401</v>
      </c>
      <c r="V13" s="1">
        <v>322.89999999999998</v>
      </c>
      <c r="W13" s="1">
        <v>43.180488590000003</v>
      </c>
      <c r="Y13" s="1">
        <v>1.4091895954914599</v>
      </c>
      <c r="Z13" s="1">
        <v>343</v>
      </c>
      <c r="AA13" s="1">
        <v>59.17419434</v>
      </c>
      <c r="AC13" s="1">
        <v>0.72148647215065798</v>
      </c>
      <c r="AD13" s="1">
        <v>363</v>
      </c>
      <c r="AE13" s="1">
        <v>68.131805420000006</v>
      </c>
    </row>
    <row r="14" spans="1:31" x14ac:dyDescent="0.3">
      <c r="A14" s="1">
        <v>1.73049743949628</v>
      </c>
      <c r="B14" s="1">
        <v>273.39999999999998</v>
      </c>
      <c r="C14" s="1">
        <v>35.632240299999999</v>
      </c>
      <c r="E14" s="1">
        <v>1.76418212000421</v>
      </c>
      <c r="F14" s="1">
        <v>283.5</v>
      </c>
      <c r="G14" s="1">
        <v>32.162044530000003</v>
      </c>
      <c r="I14" s="1">
        <v>1.6474232830889</v>
      </c>
      <c r="J14" s="1">
        <v>293.10000000000002</v>
      </c>
      <c r="K14" s="1">
        <v>28.343412399999998</v>
      </c>
      <c r="M14" s="1">
        <v>1.6759810496857901</v>
      </c>
      <c r="N14" s="1">
        <v>305.89999999999998</v>
      </c>
      <c r="O14" s="1">
        <v>34.263771060000003</v>
      </c>
      <c r="Q14" s="1">
        <v>1.6948879526624601</v>
      </c>
      <c r="R14" s="1">
        <v>312.8</v>
      </c>
      <c r="S14" s="1">
        <v>35.701103209999999</v>
      </c>
      <c r="U14" s="1">
        <v>1.62706031194812</v>
      </c>
      <c r="V14" s="1">
        <v>322.89999999999998</v>
      </c>
      <c r="W14" s="1">
        <v>42.039173130000002</v>
      </c>
      <c r="Y14" s="1">
        <v>1.3960688755530699</v>
      </c>
      <c r="Z14" s="1">
        <v>343</v>
      </c>
      <c r="AA14" s="1">
        <v>56.762741089999999</v>
      </c>
      <c r="AC14" s="1">
        <v>0.65577138091570997</v>
      </c>
      <c r="AD14" s="1">
        <v>363</v>
      </c>
      <c r="AE14" s="1">
        <v>65.962600710000004</v>
      </c>
    </row>
    <row r="15" spans="1:31" x14ac:dyDescent="0.3">
      <c r="A15" s="1">
        <v>1.7301951657675601</v>
      </c>
      <c r="B15" s="1">
        <v>273.39999999999998</v>
      </c>
      <c r="C15" s="1">
        <v>35.208324429999998</v>
      </c>
      <c r="E15" s="1">
        <v>1.7611498088655699</v>
      </c>
      <c r="F15" s="1">
        <v>283.5</v>
      </c>
      <c r="G15" s="1">
        <v>31.764064789999999</v>
      </c>
      <c r="I15" s="1">
        <v>1.64292543335643</v>
      </c>
      <c r="J15" s="1">
        <v>293.10000000000002</v>
      </c>
      <c r="K15" s="1">
        <v>27.208677290000001</v>
      </c>
      <c r="M15" s="1">
        <v>1.6742018172334601</v>
      </c>
      <c r="N15" s="1">
        <v>305.89999999999998</v>
      </c>
      <c r="O15" s="1">
        <v>34.056556700000002</v>
      </c>
      <c r="Q15" s="1">
        <v>1.6904140945539301</v>
      </c>
      <c r="R15" s="1">
        <v>312.8</v>
      </c>
      <c r="S15" s="1">
        <v>34.954479220000003</v>
      </c>
      <c r="U15" s="1">
        <v>1.6157300120923199</v>
      </c>
      <c r="V15" s="1">
        <v>322.89999999999998</v>
      </c>
      <c r="W15" s="1">
        <v>40.963642120000003</v>
      </c>
      <c r="Y15" s="1">
        <v>1.3737776233828101</v>
      </c>
      <c r="Z15" s="1">
        <v>343</v>
      </c>
      <c r="AA15" s="1">
        <v>54.389831540000003</v>
      </c>
      <c r="AC15" s="1">
        <v>0.59541987966956</v>
      </c>
      <c r="AD15" s="1">
        <v>363</v>
      </c>
      <c r="AE15" s="1">
        <v>63.78238297</v>
      </c>
    </row>
    <row r="16" spans="1:31" x14ac:dyDescent="0.3">
      <c r="A16" s="1">
        <v>1.73044361006424</v>
      </c>
      <c r="B16" s="1">
        <v>273.39999999999998</v>
      </c>
      <c r="C16" s="1">
        <v>34.756858829999999</v>
      </c>
      <c r="E16" s="1">
        <v>1.7599715060521099</v>
      </c>
      <c r="F16" s="1">
        <v>283.5</v>
      </c>
      <c r="G16" s="1">
        <v>31.102956769999999</v>
      </c>
      <c r="I16" s="1">
        <v>1.6380339979362699</v>
      </c>
      <c r="J16" s="1">
        <v>293.10000000000002</v>
      </c>
      <c r="K16" s="1">
        <v>26.166036609999999</v>
      </c>
      <c r="M16" s="1">
        <v>1.67041776668163</v>
      </c>
      <c r="N16" s="1">
        <v>305.89999999999998</v>
      </c>
      <c r="O16" s="1">
        <v>33.494121550000003</v>
      </c>
      <c r="Q16" s="1">
        <v>1.68693652970618</v>
      </c>
      <c r="R16" s="1">
        <v>312.8</v>
      </c>
      <c r="S16" s="1">
        <v>34.322975159999999</v>
      </c>
      <c r="U16" s="1">
        <v>1.60408515203574</v>
      </c>
      <c r="V16" s="1">
        <v>322.89999999999998</v>
      </c>
      <c r="W16" s="1">
        <v>39.868377690000003</v>
      </c>
      <c r="Y16" s="1">
        <v>1.33851171930832</v>
      </c>
      <c r="Z16" s="1">
        <v>343</v>
      </c>
      <c r="AA16" s="1">
        <v>52.077480319999999</v>
      </c>
      <c r="AC16" s="1">
        <v>0.54341472000840096</v>
      </c>
      <c r="AD16" s="1">
        <v>363</v>
      </c>
      <c r="AE16" s="1">
        <v>61.525085449999999</v>
      </c>
    </row>
    <row r="17" spans="1:31" x14ac:dyDescent="0.3">
      <c r="A17" s="1">
        <v>1.72920827740542</v>
      </c>
      <c r="B17" s="1">
        <v>273.39999999999998</v>
      </c>
      <c r="C17" s="1">
        <v>34.338428499999999</v>
      </c>
      <c r="E17" s="1">
        <v>1.75968566104003</v>
      </c>
      <c r="F17" s="1">
        <v>283.5</v>
      </c>
      <c r="G17" s="1">
        <v>30.655639650000001</v>
      </c>
      <c r="I17" s="1">
        <v>1.63155103966457</v>
      </c>
      <c r="J17" s="1">
        <v>293.10000000000002</v>
      </c>
      <c r="K17" s="1">
        <v>25.12339592</v>
      </c>
      <c r="M17" s="1">
        <v>1.66823424391723</v>
      </c>
      <c r="N17" s="1">
        <v>305.89999999999998</v>
      </c>
      <c r="O17" s="1">
        <v>32.826438899999999</v>
      </c>
      <c r="Q17" s="1">
        <v>1.68488495645492</v>
      </c>
      <c r="R17" s="1">
        <v>312.8</v>
      </c>
      <c r="S17" s="1">
        <v>33.855922700000001</v>
      </c>
      <c r="U17" s="1">
        <v>1.59437511170561</v>
      </c>
      <c r="V17" s="1">
        <v>322.89999999999998</v>
      </c>
      <c r="W17" s="1">
        <v>38.832313540000001</v>
      </c>
      <c r="Y17" s="1">
        <v>1.2842216886586399</v>
      </c>
      <c r="Z17" s="1">
        <v>343</v>
      </c>
      <c r="AA17" s="1">
        <v>49.858715060000002</v>
      </c>
      <c r="AC17" s="1">
        <v>0.49820066547185698</v>
      </c>
      <c r="AD17" s="1">
        <v>363</v>
      </c>
      <c r="AE17" s="1">
        <v>59.229255680000001</v>
      </c>
    </row>
    <row r="18" spans="1:31" x14ac:dyDescent="0.3">
      <c r="A18" s="1">
        <v>1.7285919797236799</v>
      </c>
      <c r="B18" s="1">
        <v>273.39999999999998</v>
      </c>
      <c r="C18" s="1">
        <v>33.903495790000001</v>
      </c>
      <c r="E18" s="1">
        <v>1.7562793520708</v>
      </c>
      <c r="F18" s="1">
        <v>283.5</v>
      </c>
      <c r="G18" s="1">
        <v>30.224771499999999</v>
      </c>
      <c r="I18" s="1">
        <v>1.6267175819708499</v>
      </c>
      <c r="J18" s="1">
        <v>293.10000000000002</v>
      </c>
      <c r="K18" s="1">
        <v>24.11364365</v>
      </c>
      <c r="M18" s="1">
        <v>1.6652474609801999</v>
      </c>
      <c r="N18" s="1">
        <v>305.89999999999998</v>
      </c>
      <c r="O18" s="1">
        <v>32.349521639999999</v>
      </c>
      <c r="Q18" s="1">
        <v>1.67952062324416</v>
      </c>
      <c r="R18" s="1">
        <v>312.8</v>
      </c>
      <c r="S18" s="1">
        <v>33.395450590000003</v>
      </c>
      <c r="U18" s="1">
        <v>1.58091754859105</v>
      </c>
      <c r="V18" s="1">
        <v>322.89999999999998</v>
      </c>
      <c r="W18" s="1">
        <v>37.786384580000004</v>
      </c>
      <c r="Y18" s="1">
        <v>1.2020764133296</v>
      </c>
      <c r="Z18" s="1">
        <v>343</v>
      </c>
      <c r="AA18" s="1">
        <v>47.783103939999997</v>
      </c>
      <c r="AC18" s="1">
        <v>0.46688071524782998</v>
      </c>
      <c r="AD18" s="1">
        <v>363</v>
      </c>
      <c r="AE18" s="1">
        <v>56.872844700000002</v>
      </c>
    </row>
    <row r="19" spans="1:31" x14ac:dyDescent="0.3">
      <c r="A19" s="1">
        <v>1.7282196438398301</v>
      </c>
      <c r="B19" s="1">
        <v>273.39999999999998</v>
      </c>
      <c r="C19" s="1">
        <v>33.468544010000002</v>
      </c>
      <c r="E19" s="1">
        <v>1.7539457810754999</v>
      </c>
      <c r="F19" s="1">
        <v>283.5</v>
      </c>
      <c r="G19" s="1">
        <v>29.257778170000002</v>
      </c>
      <c r="I19" s="1">
        <v>1.62141819772742</v>
      </c>
      <c r="J19" s="1">
        <v>293.10000000000002</v>
      </c>
      <c r="K19" s="1">
        <v>23.103895189999999</v>
      </c>
      <c r="M19" s="1">
        <v>1.66156239655459</v>
      </c>
      <c r="N19" s="1">
        <v>305.89999999999998</v>
      </c>
      <c r="O19" s="1">
        <v>31.8923378</v>
      </c>
      <c r="Q19" s="1">
        <v>1.6751035364710001</v>
      </c>
      <c r="R19" s="1">
        <v>312.8</v>
      </c>
      <c r="S19" s="1">
        <v>32.918533330000002</v>
      </c>
      <c r="U19" s="1">
        <v>1.56687352464422</v>
      </c>
      <c r="V19" s="1">
        <v>322.89999999999998</v>
      </c>
      <c r="W19" s="1">
        <v>36.730587010000001</v>
      </c>
      <c r="Y19" s="1">
        <v>1.0941504827919399</v>
      </c>
      <c r="Z19" s="1">
        <v>343</v>
      </c>
      <c r="AA19" s="1">
        <v>45.82311249</v>
      </c>
      <c r="AC19" s="1">
        <v>0.439677484402128</v>
      </c>
      <c r="AD19" s="1">
        <v>363</v>
      </c>
      <c r="AE19" s="1">
        <v>54.505443569999997</v>
      </c>
    </row>
    <row r="20" spans="1:31" x14ac:dyDescent="0.3">
      <c r="A20" s="1">
        <v>1.72670404549109</v>
      </c>
      <c r="B20" s="1">
        <v>273.39999999999998</v>
      </c>
      <c r="C20" s="1">
        <v>33.044616699999999</v>
      </c>
      <c r="E20" s="1">
        <v>1.75351879082511</v>
      </c>
      <c r="F20" s="1">
        <v>283.5</v>
      </c>
      <c r="G20" s="1">
        <v>28.807174679999999</v>
      </c>
      <c r="I20" s="1">
        <v>1.61640639054492</v>
      </c>
      <c r="J20" s="1">
        <v>293.10000000000002</v>
      </c>
      <c r="K20" s="1">
        <v>22.146770480000001</v>
      </c>
      <c r="M20" s="1">
        <v>1.6595299451848999</v>
      </c>
      <c r="N20" s="1">
        <v>305.89999999999998</v>
      </c>
      <c r="O20" s="1">
        <v>31.17860413</v>
      </c>
      <c r="Q20" s="1">
        <v>1.66957220421041</v>
      </c>
      <c r="R20" s="1">
        <v>312.8</v>
      </c>
      <c r="S20" s="1">
        <v>32.392280579999998</v>
      </c>
      <c r="U20" s="1">
        <v>1.55268853213956</v>
      </c>
      <c r="V20" s="1">
        <v>322.89999999999998</v>
      </c>
      <c r="W20" s="1">
        <v>35.694522859999999</v>
      </c>
      <c r="Y20" s="1">
        <v>0.95481921926631197</v>
      </c>
      <c r="Z20" s="1">
        <v>343</v>
      </c>
      <c r="AA20" s="1">
        <v>44.02278519</v>
      </c>
      <c r="AC20" s="1">
        <v>0.41871001789414702</v>
      </c>
      <c r="AD20" s="1">
        <v>363</v>
      </c>
      <c r="AE20" s="1">
        <v>52.099498750000002</v>
      </c>
    </row>
    <row r="21" spans="1:31" x14ac:dyDescent="0.3">
      <c r="A21" s="1">
        <v>1.7258799710319499</v>
      </c>
      <c r="B21" s="1">
        <v>273.39999999999998</v>
      </c>
      <c r="C21" s="1">
        <v>32.615180969999997</v>
      </c>
      <c r="E21" s="1">
        <v>1.75239521965241</v>
      </c>
      <c r="F21" s="1">
        <v>283.5</v>
      </c>
      <c r="G21" s="1">
        <v>28.43221664</v>
      </c>
      <c r="I21" s="1">
        <v>1.60773146003873</v>
      </c>
      <c r="J21" s="1">
        <v>293.10000000000002</v>
      </c>
      <c r="K21" s="1">
        <v>21.090972900000001</v>
      </c>
      <c r="M21" s="1">
        <v>1.6574257635426399</v>
      </c>
      <c r="N21" s="1">
        <v>305.89999999999998</v>
      </c>
      <c r="O21" s="1">
        <v>30.5438118</v>
      </c>
      <c r="Q21" s="1">
        <v>1.66441126118384</v>
      </c>
      <c r="R21" s="1">
        <v>312.8</v>
      </c>
      <c r="S21" s="1">
        <v>31.9285183</v>
      </c>
      <c r="U21" s="1">
        <v>1.5383428109425099</v>
      </c>
      <c r="V21" s="1">
        <v>322.89999999999998</v>
      </c>
      <c r="W21" s="1">
        <v>34.655170439999999</v>
      </c>
      <c r="Y21" s="1">
        <v>0.81148131661999401</v>
      </c>
      <c r="Z21" s="1">
        <v>343</v>
      </c>
      <c r="AA21" s="1">
        <v>42.233463290000003</v>
      </c>
      <c r="AC21" s="1">
        <v>0.39928296935032198</v>
      </c>
      <c r="AD21" s="1">
        <v>363</v>
      </c>
      <c r="AE21" s="1">
        <v>49.699050900000003</v>
      </c>
    </row>
    <row r="22" spans="1:31" x14ac:dyDescent="0.3">
      <c r="A22" s="1">
        <v>1.72467730825195</v>
      </c>
      <c r="B22" s="1">
        <v>273.39999999999998</v>
      </c>
      <c r="C22" s="1">
        <v>32.20225525</v>
      </c>
      <c r="E22" s="1">
        <v>1.74886126119757</v>
      </c>
      <c r="F22" s="1">
        <v>283.5</v>
      </c>
      <c r="G22" s="1">
        <v>28.044103620000001</v>
      </c>
      <c r="I22" s="1">
        <v>1.6016337940709799</v>
      </c>
      <c r="J22" s="1">
        <v>293.10000000000002</v>
      </c>
      <c r="K22" s="1">
        <v>20.09437943</v>
      </c>
      <c r="M22" s="1">
        <v>1.65539859315275</v>
      </c>
      <c r="N22" s="1">
        <v>305.89999999999998</v>
      </c>
      <c r="O22" s="1">
        <v>30.020847320000001</v>
      </c>
      <c r="Q22" s="1">
        <v>1.6588787293429399</v>
      </c>
      <c r="R22" s="1">
        <v>312.8</v>
      </c>
      <c r="S22" s="1">
        <v>31.49764824</v>
      </c>
      <c r="U22" s="1">
        <v>1.5223089412347699</v>
      </c>
      <c r="V22" s="1">
        <v>322.89999999999998</v>
      </c>
      <c r="W22" s="1">
        <v>33.665157319999999</v>
      </c>
      <c r="Y22" s="1">
        <v>0.69556609969196304</v>
      </c>
      <c r="Z22" s="1">
        <v>343</v>
      </c>
      <c r="AA22" s="1">
        <v>40.312011720000001</v>
      </c>
      <c r="AC22" s="1">
        <v>0.38189028864463698</v>
      </c>
      <c r="AD22" s="1">
        <v>363</v>
      </c>
      <c r="AE22" s="1">
        <v>47.271091460000001</v>
      </c>
    </row>
    <row r="23" spans="1:31" x14ac:dyDescent="0.3">
      <c r="A23" s="1">
        <v>1.7229514271059301</v>
      </c>
      <c r="B23" s="1">
        <v>273.39999999999998</v>
      </c>
      <c r="C23" s="1">
        <v>31.78383255</v>
      </c>
      <c r="E23" s="1">
        <v>1.7472732602602199</v>
      </c>
      <c r="F23" s="1">
        <v>283.5</v>
      </c>
      <c r="G23" s="1">
        <v>27.534296040000001</v>
      </c>
      <c r="I23" s="1">
        <v>1.5938374054744999</v>
      </c>
      <c r="J23" s="1">
        <v>293.10000000000002</v>
      </c>
      <c r="K23" s="1">
        <v>19.078050609999998</v>
      </c>
      <c r="M23" s="1">
        <v>1.6519160733334599</v>
      </c>
      <c r="N23" s="1">
        <v>305.89999999999998</v>
      </c>
      <c r="O23" s="1">
        <v>29.589977260000001</v>
      </c>
      <c r="Q23" s="1">
        <v>1.65355592516563</v>
      </c>
      <c r="R23" s="1">
        <v>312.8</v>
      </c>
      <c r="S23" s="1">
        <v>31.089799880000001</v>
      </c>
      <c r="U23" s="1">
        <v>1.50681641141277</v>
      </c>
      <c r="V23" s="1">
        <v>322.89999999999998</v>
      </c>
      <c r="W23" s="1">
        <v>32.658695219999998</v>
      </c>
      <c r="Y23" s="1">
        <v>0.59210406472976795</v>
      </c>
      <c r="Z23" s="1">
        <v>343</v>
      </c>
      <c r="AA23" s="1">
        <v>38.335498809999997</v>
      </c>
      <c r="AC23" s="1">
        <v>0.36715011876225201</v>
      </c>
      <c r="AD23" s="1">
        <v>363</v>
      </c>
      <c r="AE23" s="1">
        <v>44.843112949999998</v>
      </c>
    </row>
    <row r="24" spans="1:31" x14ac:dyDescent="0.3">
      <c r="A24" s="1">
        <v>1.72244134704777</v>
      </c>
      <c r="B24" s="1">
        <v>273.39999999999998</v>
      </c>
      <c r="C24" s="1">
        <v>31.365404130000002</v>
      </c>
      <c r="E24" s="1">
        <v>1.7470379348613001</v>
      </c>
      <c r="F24" s="1">
        <v>283.5</v>
      </c>
      <c r="G24" s="1">
        <v>27.040931700000002</v>
      </c>
      <c r="I24" s="1">
        <v>1.58526656864643</v>
      </c>
      <c r="J24" s="1">
        <v>293.10000000000002</v>
      </c>
      <c r="K24" s="1">
        <v>18.170261379999999</v>
      </c>
      <c r="M24" s="1">
        <v>1.64942212173311</v>
      </c>
      <c r="N24" s="1">
        <v>305.89999999999998</v>
      </c>
      <c r="O24" s="1">
        <v>29.228178020000001</v>
      </c>
      <c r="Q24" s="1">
        <v>1.6504983916706499</v>
      </c>
      <c r="R24" s="1">
        <v>312.8</v>
      </c>
      <c r="S24" s="1">
        <v>30.606304170000001</v>
      </c>
      <c r="U24" s="1">
        <v>1.48902821597543</v>
      </c>
      <c r="V24" s="1">
        <v>322.89999999999998</v>
      </c>
      <c r="W24" s="1">
        <v>31.68512535</v>
      </c>
      <c r="Y24" s="1">
        <v>0.50199984564547795</v>
      </c>
      <c r="Z24" s="1">
        <v>343</v>
      </c>
      <c r="AA24" s="1">
        <v>36.29291534</v>
      </c>
      <c r="AC24" s="1">
        <v>0.35396024584150099</v>
      </c>
      <c r="AD24" s="1">
        <v>363</v>
      </c>
      <c r="AE24" s="1">
        <v>42.420658109999998</v>
      </c>
    </row>
    <row r="25" spans="1:31" x14ac:dyDescent="0.3">
      <c r="A25" s="1">
        <v>1.72238233203083</v>
      </c>
      <c r="B25" s="1">
        <v>273.39999999999998</v>
      </c>
      <c r="C25" s="1">
        <v>30.941476819999998</v>
      </c>
      <c r="E25" s="1">
        <v>1.7440844554149999</v>
      </c>
      <c r="F25" s="1">
        <v>283.5</v>
      </c>
      <c r="G25" s="1">
        <v>26.646242139999998</v>
      </c>
      <c r="I25" s="1">
        <v>1.5767757707021</v>
      </c>
      <c r="J25" s="1">
        <v>293.10000000000002</v>
      </c>
      <c r="K25" s="1">
        <v>17.27234077</v>
      </c>
      <c r="M25" s="1">
        <v>1.6481567941609001</v>
      </c>
      <c r="N25" s="1">
        <v>305.89999999999998</v>
      </c>
      <c r="O25" s="1">
        <v>28.76441574</v>
      </c>
      <c r="Q25" s="1">
        <v>1.6445645186380999</v>
      </c>
      <c r="R25" s="1">
        <v>312.8</v>
      </c>
      <c r="S25" s="1">
        <v>30.221481319999999</v>
      </c>
      <c r="U25" s="1">
        <v>1.46918023634718</v>
      </c>
      <c r="V25" s="1">
        <v>322.89999999999998</v>
      </c>
      <c r="W25" s="1">
        <v>30.708267209999999</v>
      </c>
      <c r="Y25" s="1">
        <v>0.43291954448333803</v>
      </c>
      <c r="Z25" s="1">
        <v>343</v>
      </c>
      <c r="AA25" s="1">
        <v>34.123714450000001</v>
      </c>
      <c r="AC25" s="1">
        <v>0.34112883940072802</v>
      </c>
      <c r="AD25" s="1">
        <v>363</v>
      </c>
      <c r="AE25" s="1">
        <v>39.992679600000002</v>
      </c>
    </row>
    <row r="26" spans="1:31" x14ac:dyDescent="0.3">
      <c r="A26" s="1">
        <v>1.7206184060285401</v>
      </c>
      <c r="B26" s="1">
        <v>273.39999999999998</v>
      </c>
      <c r="C26" s="1">
        <v>30.517543790000001</v>
      </c>
      <c r="E26" s="1">
        <v>1.74133885526381</v>
      </c>
      <c r="F26" s="1">
        <v>283.5</v>
      </c>
      <c r="G26" s="1">
        <v>26.258131030000001</v>
      </c>
      <c r="I26" s="1">
        <v>1.5661684887526599</v>
      </c>
      <c r="J26" s="1">
        <v>293.10000000000002</v>
      </c>
      <c r="K26" s="1">
        <v>16.3941555</v>
      </c>
      <c r="M26" s="1">
        <v>1.6446908998812999</v>
      </c>
      <c r="N26" s="1">
        <v>305.89999999999998</v>
      </c>
      <c r="O26" s="1">
        <v>28.33354568</v>
      </c>
      <c r="Q26" s="1">
        <v>1.6408981264364</v>
      </c>
      <c r="R26" s="1">
        <v>312.8</v>
      </c>
      <c r="S26" s="1">
        <v>29.787321089999999</v>
      </c>
      <c r="U26" s="1">
        <v>1.44689754352811</v>
      </c>
      <c r="V26" s="1">
        <v>322.89999999999998</v>
      </c>
      <c r="W26" s="1">
        <v>29.78403282</v>
      </c>
      <c r="Y26" s="1">
        <v>0.39611604501540199</v>
      </c>
      <c r="Z26" s="1">
        <v>343</v>
      </c>
      <c r="AA26" s="1">
        <v>31.860912320000001</v>
      </c>
      <c r="AC26" s="1">
        <v>0.324362769392327</v>
      </c>
      <c r="AD26" s="1">
        <v>363</v>
      </c>
      <c r="AE26" s="1">
        <v>37.570213320000001</v>
      </c>
    </row>
    <row r="27" spans="1:31" x14ac:dyDescent="0.3">
      <c r="A27" s="1">
        <v>1.71972140587073</v>
      </c>
      <c r="B27" s="1">
        <v>273.39999999999998</v>
      </c>
      <c r="C27" s="1">
        <v>30.077089310000002</v>
      </c>
      <c r="E27" s="1">
        <v>1.74043338610123</v>
      </c>
      <c r="F27" s="1">
        <v>283.5</v>
      </c>
      <c r="G27" s="1">
        <v>25.748321529999998</v>
      </c>
      <c r="I27" s="1">
        <v>1.5539033931855899</v>
      </c>
      <c r="J27" s="1">
        <v>293.10000000000002</v>
      </c>
      <c r="K27" s="1">
        <v>15.56530476</v>
      </c>
      <c r="M27" s="1">
        <v>1.6433296352800599</v>
      </c>
      <c r="N27" s="1">
        <v>305.89999999999998</v>
      </c>
      <c r="O27" s="1">
        <v>27.902673719999999</v>
      </c>
      <c r="Q27" s="1">
        <v>1.63596655417152</v>
      </c>
      <c r="R27" s="1">
        <v>312.8</v>
      </c>
      <c r="S27" s="1">
        <v>29.372896189999999</v>
      </c>
      <c r="U27" s="1">
        <v>1.4206881453453899</v>
      </c>
      <c r="V27" s="1">
        <v>322.89999999999998</v>
      </c>
      <c r="W27" s="1">
        <v>28.895980829999999</v>
      </c>
      <c r="Y27" s="1">
        <v>0.37121673751050099</v>
      </c>
      <c r="Z27" s="1">
        <v>343</v>
      </c>
      <c r="AA27" s="1">
        <v>29.52654266</v>
      </c>
      <c r="AC27" s="1">
        <v>0.31166472941752998</v>
      </c>
      <c r="AD27" s="1">
        <v>363</v>
      </c>
      <c r="AE27" s="1">
        <v>35.147750850000001</v>
      </c>
    </row>
    <row r="28" spans="1:31" x14ac:dyDescent="0.3">
      <c r="A28" s="1">
        <v>1.71896520717687</v>
      </c>
      <c r="B28" s="1">
        <v>273.39999999999998</v>
      </c>
      <c r="C28" s="1">
        <v>29.65867424</v>
      </c>
      <c r="E28" s="1">
        <v>1.7384269801396399</v>
      </c>
      <c r="F28" s="1">
        <v>283.5</v>
      </c>
      <c r="G28" s="1">
        <v>25.284561159999999</v>
      </c>
      <c r="I28" s="1">
        <v>1.5362945427936801</v>
      </c>
      <c r="J28" s="1">
        <v>293.10000000000002</v>
      </c>
      <c r="K28" s="1">
        <v>14.63778114</v>
      </c>
      <c r="M28" s="1">
        <v>1.63963708878335</v>
      </c>
      <c r="N28" s="1">
        <v>305.89999999999998</v>
      </c>
      <c r="O28" s="1">
        <v>27.452070240000001</v>
      </c>
      <c r="Q28" s="1">
        <v>1.63316417466176</v>
      </c>
      <c r="R28" s="1">
        <v>312.8</v>
      </c>
      <c r="S28" s="1">
        <v>29.027542109999999</v>
      </c>
      <c r="U28" s="1">
        <v>1.38620475483843</v>
      </c>
      <c r="V28" s="1">
        <v>322.89999999999998</v>
      </c>
      <c r="W28" s="1">
        <v>28.0704174</v>
      </c>
      <c r="Y28" s="1">
        <v>0.34996842521702598</v>
      </c>
      <c r="Z28" s="1">
        <v>343</v>
      </c>
      <c r="AA28" s="1">
        <v>27.076539990000001</v>
      </c>
      <c r="AC28" s="1">
        <v>0.29672697958555</v>
      </c>
      <c r="AD28" s="1">
        <v>363</v>
      </c>
      <c r="AE28" s="1">
        <v>32.708770749999999</v>
      </c>
    </row>
    <row r="29" spans="1:31" x14ac:dyDescent="0.3">
      <c r="A29" s="1">
        <v>1.71772233776327</v>
      </c>
      <c r="B29" s="1">
        <v>273.39999999999998</v>
      </c>
      <c r="C29" s="1">
        <v>29.240245819999998</v>
      </c>
      <c r="E29" s="1">
        <v>1.735031516671</v>
      </c>
      <c r="F29" s="1">
        <v>283.5</v>
      </c>
      <c r="G29" s="1">
        <v>24.9128933</v>
      </c>
      <c r="I29" s="1">
        <v>1.5164279211148799</v>
      </c>
      <c r="J29" s="1">
        <v>293.10000000000002</v>
      </c>
      <c r="K29" s="1">
        <v>13.75959587</v>
      </c>
      <c r="M29" s="1">
        <v>1.63776383364803</v>
      </c>
      <c r="N29" s="1">
        <v>305.89999999999998</v>
      </c>
      <c r="O29" s="1">
        <v>26.96857262</v>
      </c>
      <c r="Q29" s="1">
        <v>1.6267132774256601</v>
      </c>
      <c r="R29" s="1">
        <v>312.8</v>
      </c>
      <c r="S29" s="1">
        <v>28.646009450000001</v>
      </c>
      <c r="U29" s="1">
        <v>1.34696604543203</v>
      </c>
      <c r="V29" s="1">
        <v>322.89999999999998</v>
      </c>
      <c r="W29" s="1">
        <v>27.350107189999999</v>
      </c>
      <c r="Y29" s="1">
        <v>0.32953089635956301</v>
      </c>
      <c r="Z29" s="1">
        <v>343</v>
      </c>
      <c r="AA29" s="1">
        <v>24.676109310000001</v>
      </c>
      <c r="AC29" s="1">
        <v>0.28603931559787199</v>
      </c>
      <c r="AD29" s="1">
        <v>363</v>
      </c>
      <c r="AE29" s="1">
        <v>30.258785249999999</v>
      </c>
    </row>
    <row r="30" spans="1:31" x14ac:dyDescent="0.3">
      <c r="A30" s="1">
        <v>1.71612806407672</v>
      </c>
      <c r="B30" s="1">
        <v>273.39999999999998</v>
      </c>
      <c r="C30" s="1">
        <v>28.80529404</v>
      </c>
      <c r="E30" s="1">
        <v>1.7345547547220701</v>
      </c>
      <c r="F30" s="1">
        <v>283.5</v>
      </c>
      <c r="G30" s="1">
        <v>24.37677193</v>
      </c>
      <c r="I30" s="1">
        <v>1.4969032746203199</v>
      </c>
      <c r="J30" s="1">
        <v>293.10000000000002</v>
      </c>
      <c r="K30" s="1">
        <v>12.950479509999999</v>
      </c>
      <c r="M30" s="1">
        <v>1.6342317613701001</v>
      </c>
      <c r="N30" s="1">
        <v>305.89999999999998</v>
      </c>
      <c r="O30" s="1">
        <v>26.554149630000001</v>
      </c>
      <c r="Q30" s="1">
        <v>1.6209039802584999</v>
      </c>
      <c r="R30" s="1">
        <v>312.8</v>
      </c>
      <c r="S30" s="1">
        <v>28.22171402</v>
      </c>
      <c r="U30" s="1">
        <v>1.30026225881878</v>
      </c>
      <c r="V30" s="1">
        <v>322.89999999999998</v>
      </c>
      <c r="W30" s="1">
        <v>26.715312959999999</v>
      </c>
      <c r="Y30" s="1">
        <v>0.30959790201624199</v>
      </c>
      <c r="Z30" s="1">
        <v>343</v>
      </c>
      <c r="AA30" s="1">
        <v>22.303184510000001</v>
      </c>
      <c r="AC30" s="1">
        <v>0.27087223189582799</v>
      </c>
      <c r="AD30" s="1">
        <v>363</v>
      </c>
      <c r="AE30" s="1">
        <v>27.847328189999999</v>
      </c>
    </row>
    <row r="31" spans="1:31" x14ac:dyDescent="0.3">
      <c r="A31" s="1">
        <v>1.7155437027035501</v>
      </c>
      <c r="B31" s="1">
        <v>273.39999999999998</v>
      </c>
      <c r="C31" s="1">
        <v>28.375864029999999</v>
      </c>
      <c r="E31" s="1">
        <v>1.7335809074681701</v>
      </c>
      <c r="F31" s="1">
        <v>283.5</v>
      </c>
      <c r="G31" s="1">
        <v>23.955768590000002</v>
      </c>
      <c r="I31" s="1">
        <v>1.4736633143064</v>
      </c>
      <c r="J31" s="1">
        <v>293.10000000000002</v>
      </c>
      <c r="K31" s="1">
        <v>12.233457570000001</v>
      </c>
      <c r="M31" s="1">
        <v>1.6308233268393399</v>
      </c>
      <c r="N31" s="1">
        <v>305.89999999999998</v>
      </c>
      <c r="O31" s="1">
        <v>26.103544240000002</v>
      </c>
      <c r="Q31" s="1">
        <v>1.6172281916931801</v>
      </c>
      <c r="R31" s="1">
        <v>312.8</v>
      </c>
      <c r="S31" s="1">
        <v>27.830314640000001</v>
      </c>
      <c r="U31" s="1">
        <v>1.2452199389262899</v>
      </c>
      <c r="V31" s="1">
        <v>322.89999999999998</v>
      </c>
      <c r="W31" s="1">
        <v>26.1791935</v>
      </c>
      <c r="Y31" s="1">
        <v>0.29234493856062699</v>
      </c>
      <c r="Z31" s="1">
        <v>343</v>
      </c>
      <c r="AA31" s="1">
        <v>19.974321369999998</v>
      </c>
      <c r="AC31" s="1">
        <v>0.25902660827499302</v>
      </c>
      <c r="AD31" s="1">
        <v>363</v>
      </c>
      <c r="AE31" s="1">
        <v>25.41935921</v>
      </c>
    </row>
    <row r="32" spans="1:31" x14ac:dyDescent="0.3">
      <c r="A32" s="1">
        <v>1.7135669012896899</v>
      </c>
      <c r="B32" s="1">
        <v>273.39999999999998</v>
      </c>
      <c r="C32" s="1">
        <v>27.957435610000001</v>
      </c>
      <c r="E32" s="1">
        <v>1.7305906597144201</v>
      </c>
      <c r="F32" s="1">
        <v>283.5</v>
      </c>
      <c r="G32" s="1">
        <v>23.597259520000001</v>
      </c>
      <c r="I32" s="1">
        <v>1.44285603327028</v>
      </c>
      <c r="J32" s="1">
        <v>293.10000000000002</v>
      </c>
      <c r="K32" s="1">
        <v>11.44736576</v>
      </c>
      <c r="M32" s="1">
        <v>1.6290744111919799</v>
      </c>
      <c r="N32" s="1">
        <v>305.89999999999998</v>
      </c>
      <c r="O32" s="1">
        <v>25.63649178</v>
      </c>
      <c r="Q32" s="1">
        <v>1.6127176855440799</v>
      </c>
      <c r="R32" s="1">
        <v>312.8</v>
      </c>
      <c r="S32" s="1">
        <v>27.425756450000002</v>
      </c>
      <c r="U32" s="1">
        <v>1.18654806505442</v>
      </c>
      <c r="V32" s="1">
        <v>322.89999999999998</v>
      </c>
      <c r="W32" s="1">
        <v>25.682538990000001</v>
      </c>
      <c r="Y32" s="1">
        <v>0.27264904015681901</v>
      </c>
      <c r="Z32" s="1">
        <v>343</v>
      </c>
      <c r="AA32" s="1">
        <v>17.579378129999998</v>
      </c>
      <c r="AC32" s="1">
        <v>0.24395408069168301</v>
      </c>
      <c r="AD32" s="1">
        <v>363</v>
      </c>
      <c r="AE32" s="1">
        <v>22.969364169999999</v>
      </c>
    </row>
    <row r="33" spans="1:31" x14ac:dyDescent="0.3">
      <c r="A33" s="1">
        <v>1.7127377739010201</v>
      </c>
      <c r="B33" s="1">
        <v>273.39999999999998</v>
      </c>
      <c r="C33" s="1">
        <v>27.528003689999998</v>
      </c>
      <c r="E33" s="1">
        <v>1.72753962719317</v>
      </c>
      <c r="F33" s="1">
        <v>283.5</v>
      </c>
      <c r="G33" s="1">
        <v>23.15980721</v>
      </c>
      <c r="I33" s="1">
        <v>1.41225623120475</v>
      </c>
      <c r="J33" s="1">
        <v>293.10000000000002</v>
      </c>
      <c r="K33" s="1">
        <v>10.865197179999999</v>
      </c>
      <c r="M33" s="1">
        <v>1.62468879760416</v>
      </c>
      <c r="N33" s="1">
        <v>305.89999999999998</v>
      </c>
      <c r="O33" s="1">
        <v>25.176019669999999</v>
      </c>
      <c r="Q33" s="1">
        <v>1.60619106610873</v>
      </c>
      <c r="R33" s="1">
        <v>312.8</v>
      </c>
      <c r="S33" s="1">
        <v>27.02777481</v>
      </c>
      <c r="U33" s="1">
        <v>1.1279189250414901</v>
      </c>
      <c r="V33" s="1">
        <v>322.89999999999998</v>
      </c>
      <c r="W33" s="1">
        <v>25.245090480000002</v>
      </c>
      <c r="Y33" s="1">
        <v>0.25471865973116797</v>
      </c>
      <c r="Z33" s="1">
        <v>343</v>
      </c>
      <c r="AA33" s="1">
        <v>15.46522903</v>
      </c>
      <c r="AC33" s="1">
        <v>0.22917086660599301</v>
      </c>
      <c r="AD33" s="1">
        <v>363</v>
      </c>
      <c r="AE33" s="1">
        <v>20.541395189999999</v>
      </c>
    </row>
    <row r="34" spans="1:31" x14ac:dyDescent="0.3">
      <c r="A34" s="1">
        <v>1.71055028783789</v>
      </c>
      <c r="B34" s="1">
        <v>273.39999999999998</v>
      </c>
      <c r="C34" s="1">
        <v>27.11507988</v>
      </c>
      <c r="E34" s="1">
        <v>1.72623564679937</v>
      </c>
      <c r="F34" s="1">
        <v>283.5</v>
      </c>
      <c r="G34" s="1">
        <v>22.709203720000001</v>
      </c>
      <c r="I34" s="1">
        <v>1.37150184680138</v>
      </c>
      <c r="J34" s="1">
        <v>293.10000000000002</v>
      </c>
      <c r="K34" s="1">
        <v>10.37512302</v>
      </c>
      <c r="M34" s="1">
        <v>1.62291433668431</v>
      </c>
      <c r="N34" s="1">
        <v>305.89999999999998</v>
      </c>
      <c r="O34" s="1">
        <v>24.768173220000001</v>
      </c>
      <c r="Q34" s="1">
        <v>1.6025423521214199</v>
      </c>
      <c r="R34" s="1">
        <v>312.8</v>
      </c>
      <c r="S34" s="1">
        <v>26.679132460000002</v>
      </c>
      <c r="U34" s="1">
        <v>1.0676531130517399</v>
      </c>
      <c r="V34" s="1">
        <v>322.89999999999998</v>
      </c>
      <c r="W34" s="1">
        <v>24.820798870000001</v>
      </c>
      <c r="Y34" s="1">
        <v>0.23522316384766201</v>
      </c>
      <c r="Z34" s="1">
        <v>343</v>
      </c>
      <c r="AA34" s="1">
        <v>12.866588589999999</v>
      </c>
      <c r="AC34" s="1">
        <v>0.21317041890226801</v>
      </c>
      <c r="AD34" s="1">
        <v>363</v>
      </c>
      <c r="AE34" s="1">
        <v>18.118930819999999</v>
      </c>
    </row>
    <row r="35" spans="1:31" x14ac:dyDescent="0.3">
      <c r="A35" s="1">
        <v>1.7090938658942201</v>
      </c>
      <c r="B35" s="1">
        <v>273.39999999999998</v>
      </c>
      <c r="C35" s="1">
        <v>26.702171329999999</v>
      </c>
      <c r="E35" s="1">
        <v>1.7250032270140001</v>
      </c>
      <c r="F35" s="1">
        <v>283.5</v>
      </c>
      <c r="G35" s="1">
        <v>22.327671049999999</v>
      </c>
      <c r="I35" s="1">
        <v>1.31639926119828</v>
      </c>
      <c r="J35" s="1">
        <v>293.10000000000002</v>
      </c>
      <c r="K35" s="1">
        <v>9.9837217299999992</v>
      </c>
      <c r="M35" s="1">
        <v>1.61920038665363</v>
      </c>
      <c r="N35" s="1">
        <v>305.89999999999998</v>
      </c>
      <c r="O35" s="1">
        <v>24.32743645</v>
      </c>
      <c r="Q35" s="1">
        <v>1.59567342451294</v>
      </c>
      <c r="R35" s="1">
        <v>312.8</v>
      </c>
      <c r="S35" s="1">
        <v>26.300888059999998</v>
      </c>
      <c r="U35" s="1">
        <v>1.00362051096612</v>
      </c>
      <c r="V35" s="1">
        <v>322.89999999999998</v>
      </c>
      <c r="W35" s="1">
        <v>24.366903310000001</v>
      </c>
      <c r="Y35" s="1">
        <v>0.21429168511621399</v>
      </c>
      <c r="Z35" s="1">
        <v>343</v>
      </c>
      <c r="AA35" s="1">
        <v>10.69188213</v>
      </c>
      <c r="AC35" s="1">
        <v>0.19831593490618901</v>
      </c>
      <c r="AD35" s="1">
        <v>363</v>
      </c>
      <c r="AE35" s="1">
        <v>16.054330830000001</v>
      </c>
    </row>
    <row r="36" spans="1:31" x14ac:dyDescent="0.3">
      <c r="A36" s="1">
        <v>1.7076014978087399</v>
      </c>
      <c r="B36" s="1">
        <v>273.39999999999998</v>
      </c>
      <c r="C36" s="1">
        <v>26.283740999999999</v>
      </c>
      <c r="E36" s="1">
        <v>1.7228663157333799</v>
      </c>
      <c r="F36" s="1">
        <v>283.5</v>
      </c>
      <c r="G36" s="1">
        <v>21.949424740000001</v>
      </c>
      <c r="I36" s="1">
        <v>1.2568778987218401</v>
      </c>
      <c r="J36" s="1">
        <v>293.10000000000002</v>
      </c>
      <c r="K36" s="1">
        <v>9.7173061399999998</v>
      </c>
      <c r="M36" s="1">
        <v>1.6152866225559499</v>
      </c>
      <c r="N36" s="1">
        <v>305.89999999999998</v>
      </c>
      <c r="O36" s="1">
        <v>23.88998604</v>
      </c>
      <c r="Q36" s="1">
        <v>1.59078604325006</v>
      </c>
      <c r="R36" s="1">
        <v>312.8</v>
      </c>
      <c r="S36" s="1">
        <v>25.935798649999999</v>
      </c>
      <c r="U36" s="1">
        <v>0.93868928838801702</v>
      </c>
      <c r="V36" s="1">
        <v>322.89999999999998</v>
      </c>
      <c r="W36" s="1">
        <v>23.94590187</v>
      </c>
      <c r="Y36" s="1">
        <v>0.19177815550266</v>
      </c>
      <c r="Z36" s="1">
        <v>343</v>
      </c>
      <c r="AA36" s="1">
        <v>8.1978349700000006</v>
      </c>
      <c r="AC36" s="1">
        <v>0.18067275105012601</v>
      </c>
      <c r="AD36" s="1">
        <v>363</v>
      </c>
      <c r="AE36" s="1">
        <v>13.38411522</v>
      </c>
    </row>
    <row r="37" spans="1:31" x14ac:dyDescent="0.3">
      <c r="A37" s="1">
        <v>1.70607387077235</v>
      </c>
      <c r="B37" s="1">
        <v>273.39999999999998</v>
      </c>
      <c r="C37" s="1">
        <v>25.859798430000001</v>
      </c>
      <c r="E37" s="1">
        <v>1.72053781924975</v>
      </c>
      <c r="F37" s="1">
        <v>283.5</v>
      </c>
      <c r="G37" s="1">
        <v>21.495531079999999</v>
      </c>
      <c r="I37" s="1">
        <v>1.1923500464664201</v>
      </c>
      <c r="J37" s="1">
        <v>293.10000000000002</v>
      </c>
      <c r="K37" s="1">
        <v>9.5133829100000007</v>
      </c>
      <c r="M37" s="1">
        <v>1.612063174789</v>
      </c>
      <c r="N37" s="1">
        <v>305.89999999999998</v>
      </c>
      <c r="O37" s="1">
        <v>23.49529648</v>
      </c>
      <c r="Q37" s="1">
        <v>1.58268168504312</v>
      </c>
      <c r="R37" s="1">
        <v>312.8</v>
      </c>
      <c r="S37" s="1">
        <v>25.57071114</v>
      </c>
      <c r="U37" s="1">
        <v>0.87623331756182599</v>
      </c>
      <c r="V37" s="1">
        <v>322.89999999999998</v>
      </c>
      <c r="W37" s="1">
        <v>23.531475069999999</v>
      </c>
      <c r="Y37" s="1">
        <v>0.16564256202744301</v>
      </c>
      <c r="Z37" s="1">
        <v>343</v>
      </c>
      <c r="AA37" s="1">
        <v>5.8854842200000004</v>
      </c>
      <c r="AC37" s="1">
        <v>0.16485153658639001</v>
      </c>
      <c r="AD37" s="1">
        <v>363</v>
      </c>
      <c r="AE37" s="1">
        <v>11.143338200000001</v>
      </c>
    </row>
    <row r="38" spans="1:31" x14ac:dyDescent="0.3">
      <c r="A38" s="1">
        <v>1.70384362264977</v>
      </c>
      <c r="B38" s="1">
        <v>273.39999999999998</v>
      </c>
      <c r="C38" s="1">
        <v>25.441385270000001</v>
      </c>
      <c r="E38" s="1">
        <v>1.7190831190492799</v>
      </c>
      <c r="F38" s="1">
        <v>283.5</v>
      </c>
      <c r="G38" s="1">
        <v>20.9725666</v>
      </c>
      <c r="I38" s="1">
        <v>1.12354617463324</v>
      </c>
      <c r="J38" s="1">
        <v>293.10000000000002</v>
      </c>
      <c r="K38" s="1">
        <v>9.3160371800000004</v>
      </c>
      <c r="M38" s="1">
        <v>1.6078261113269501</v>
      </c>
      <c r="N38" s="1">
        <v>305.89999999999998</v>
      </c>
      <c r="O38" s="1">
        <v>23.077581410000001</v>
      </c>
      <c r="Q38" s="1">
        <v>1.5747776032073499</v>
      </c>
      <c r="R38" s="1">
        <v>312.8</v>
      </c>
      <c r="S38" s="1">
        <v>25.231933590000001</v>
      </c>
      <c r="U38" s="1">
        <v>0.81384641862854601</v>
      </c>
      <c r="V38" s="1">
        <v>322.89999999999998</v>
      </c>
      <c r="W38" s="1">
        <v>23.09402657</v>
      </c>
      <c r="Y38" s="1">
        <v>0.13495698457014799</v>
      </c>
      <c r="Z38" s="1">
        <v>343</v>
      </c>
      <c r="AA38" s="1">
        <v>3.6006638999999998</v>
      </c>
      <c r="AC38" s="1">
        <v>0.14526077894147299</v>
      </c>
      <c r="AD38" s="1">
        <v>363</v>
      </c>
      <c r="AE38" s="1">
        <v>8.6107597400000007</v>
      </c>
    </row>
    <row r="39" spans="1:31" x14ac:dyDescent="0.3">
      <c r="A39" s="1">
        <v>1.70301329544456</v>
      </c>
      <c r="B39" s="1">
        <v>273.39999999999998</v>
      </c>
      <c r="C39" s="1">
        <v>25.011939999999999</v>
      </c>
      <c r="E39" s="1">
        <v>1.7165392885180599</v>
      </c>
      <c r="F39" s="1">
        <v>283.5</v>
      </c>
      <c r="G39" s="1">
        <v>20.663391109999999</v>
      </c>
      <c r="I39" s="1">
        <v>1.03005712373921</v>
      </c>
      <c r="J39" s="1">
        <v>293.10000000000002</v>
      </c>
      <c r="K39" s="1">
        <v>9.0923786199999999</v>
      </c>
      <c r="M39" s="1">
        <v>1.6052125997702</v>
      </c>
      <c r="N39" s="1">
        <v>305.89999999999998</v>
      </c>
      <c r="O39" s="1">
        <v>22.66315651</v>
      </c>
      <c r="Q39" s="1">
        <v>1.5676668607656301</v>
      </c>
      <c r="R39" s="1">
        <v>312.8</v>
      </c>
      <c r="S39" s="1">
        <v>24.96880913</v>
      </c>
      <c r="U39" s="1">
        <v>0.753957195452301</v>
      </c>
      <c r="V39" s="1">
        <v>322.89999999999998</v>
      </c>
      <c r="W39" s="1">
        <v>22.554616930000002</v>
      </c>
      <c r="Y39" s="1">
        <v>9.8960034682161899E-2</v>
      </c>
      <c r="Z39" s="1">
        <v>343</v>
      </c>
      <c r="AA39" s="1">
        <v>1.5690981100000001</v>
      </c>
      <c r="AC39" s="1">
        <v>0.12731134616354001</v>
      </c>
      <c r="AD39" s="1">
        <v>363</v>
      </c>
      <c r="AE39" s="1">
        <v>6.2433481200000003</v>
      </c>
    </row>
    <row r="40" spans="1:31" x14ac:dyDescent="0.3">
      <c r="A40" s="1">
        <v>1.70043418552341</v>
      </c>
      <c r="B40" s="1">
        <v>273.39999999999998</v>
      </c>
      <c r="C40" s="1">
        <v>24.615543370000001</v>
      </c>
      <c r="E40" s="1">
        <v>1.71284686994961</v>
      </c>
      <c r="F40" s="1">
        <v>283.5</v>
      </c>
      <c r="G40" s="1">
        <v>20.189762120000001</v>
      </c>
      <c r="I40" s="1">
        <v>0.95559546729892497</v>
      </c>
      <c r="J40" s="1">
        <v>293.10000000000002</v>
      </c>
      <c r="K40" s="1">
        <v>8.9147682199999991</v>
      </c>
      <c r="M40" s="1">
        <v>1.60105135405699</v>
      </c>
      <c r="N40" s="1">
        <v>305.89999999999998</v>
      </c>
      <c r="O40" s="1">
        <v>22.252021790000001</v>
      </c>
      <c r="Q40" s="1">
        <v>1.55746311720132</v>
      </c>
      <c r="R40" s="1">
        <v>312.8</v>
      </c>
      <c r="S40" s="1">
        <v>24.620162959999998</v>
      </c>
      <c r="U40" s="1">
        <v>0.69780000837732303</v>
      </c>
      <c r="V40" s="1">
        <v>322.89999999999998</v>
      </c>
      <c r="W40" s="1">
        <v>22.051385880000002</v>
      </c>
      <c r="Y40" s="1">
        <v>7.3246415527863401E-2</v>
      </c>
      <c r="Z40" s="1">
        <v>343</v>
      </c>
      <c r="AA40" s="1">
        <v>0.73775172</v>
      </c>
      <c r="AC40" s="1">
        <v>9.9110336572388699E-2</v>
      </c>
      <c r="AD40" s="1">
        <v>363</v>
      </c>
      <c r="AE40" s="1">
        <v>3.93099737</v>
      </c>
    </row>
    <row r="41" spans="1:31" x14ac:dyDescent="0.3">
      <c r="A41" s="1">
        <v>1.6994991815940299</v>
      </c>
      <c r="B41" s="1">
        <v>273.39999999999998</v>
      </c>
      <c r="C41" s="1">
        <v>24.208124160000001</v>
      </c>
      <c r="E41" s="1">
        <v>1.7103716685593799</v>
      </c>
      <c r="F41" s="1">
        <v>283.5</v>
      </c>
      <c r="G41" s="1">
        <v>19.449718480000001</v>
      </c>
      <c r="I41" s="1">
        <v>0.86746397693319799</v>
      </c>
      <c r="J41" s="1">
        <v>293.10000000000002</v>
      </c>
      <c r="K41" s="1">
        <v>8.7075557700000008</v>
      </c>
      <c r="M41" s="1">
        <v>1.59798330680116</v>
      </c>
      <c r="N41" s="1">
        <v>305.89999999999998</v>
      </c>
      <c r="O41" s="1">
        <v>21.867197040000001</v>
      </c>
      <c r="Q41" s="1">
        <v>1.5495397002770299</v>
      </c>
      <c r="R41" s="1">
        <v>312.8</v>
      </c>
      <c r="S41" s="1">
        <v>24.30441093</v>
      </c>
      <c r="U41" s="1">
        <v>0.64430585517070804</v>
      </c>
      <c r="V41" s="1">
        <v>322.89999999999998</v>
      </c>
      <c r="W41" s="1">
        <v>21.554735180000002</v>
      </c>
      <c r="Y41" s="1">
        <v>5.6503631727807299E-2</v>
      </c>
      <c r="Z41" s="1">
        <v>343</v>
      </c>
      <c r="AA41" s="1">
        <v>0.36887070999999999</v>
      </c>
      <c r="AC41" s="1">
        <v>6.4192314337720505E-2</v>
      </c>
      <c r="AD41" s="1">
        <v>363</v>
      </c>
      <c r="AE41" s="1">
        <v>1.67369938</v>
      </c>
    </row>
    <row r="42" spans="1:31" x14ac:dyDescent="0.3">
      <c r="A42" s="1">
        <v>1.6978286982448401</v>
      </c>
      <c r="B42" s="1">
        <v>273.39999999999998</v>
      </c>
      <c r="C42" s="1">
        <v>23.800703049999999</v>
      </c>
      <c r="E42" s="1">
        <v>1.7089663009665199</v>
      </c>
      <c r="F42" s="1">
        <v>283.5</v>
      </c>
      <c r="G42" s="1">
        <v>19.084629060000001</v>
      </c>
      <c r="I42" s="1">
        <v>0.79818273547972896</v>
      </c>
      <c r="J42" s="1">
        <v>293.10000000000002</v>
      </c>
      <c r="K42" s="1">
        <v>8.5365228700000007</v>
      </c>
      <c r="M42" s="1">
        <v>1.59372943781888</v>
      </c>
      <c r="N42" s="1">
        <v>305.89999999999998</v>
      </c>
      <c r="O42" s="1">
        <v>21.488950729999999</v>
      </c>
      <c r="Q42" s="1">
        <v>1.5388306953545601</v>
      </c>
      <c r="R42" s="1">
        <v>312.8</v>
      </c>
      <c r="S42" s="1">
        <v>23.99523735</v>
      </c>
      <c r="U42" s="1">
        <v>0.592762771194702</v>
      </c>
      <c r="V42" s="1">
        <v>322.89999999999998</v>
      </c>
      <c r="W42" s="1">
        <v>21.074527740000001</v>
      </c>
      <c r="Y42" s="1">
        <v>4.4830890562867598E-2</v>
      </c>
      <c r="Z42" s="1">
        <v>343</v>
      </c>
      <c r="AA42" s="1">
        <v>0.19819944</v>
      </c>
      <c r="AC42" s="1">
        <v>4.2885433702044201E-2</v>
      </c>
      <c r="AD42" s="1">
        <v>363</v>
      </c>
      <c r="AE42" s="1">
        <v>0.74876069999999995</v>
      </c>
    </row>
    <row r="43" spans="1:31" x14ac:dyDescent="0.3">
      <c r="A43" s="1">
        <v>1.6963953796572899</v>
      </c>
      <c r="B43" s="1">
        <v>273.39999999999998</v>
      </c>
      <c r="C43" s="1">
        <v>23.354759219999998</v>
      </c>
      <c r="E43" s="1">
        <v>1.7050890903247999</v>
      </c>
      <c r="F43" s="1">
        <v>283.5</v>
      </c>
      <c r="G43" s="1">
        <v>18.752429960000001</v>
      </c>
      <c r="I43" s="1">
        <v>0.70612925182976605</v>
      </c>
      <c r="J43" s="1">
        <v>293.10000000000002</v>
      </c>
      <c r="K43" s="1">
        <v>8.2898416499999996</v>
      </c>
      <c r="M43" s="1">
        <v>1.58985693228058</v>
      </c>
      <c r="N43" s="1">
        <v>305.89999999999998</v>
      </c>
      <c r="O43" s="1">
        <v>21.120574950000002</v>
      </c>
      <c r="Q43" s="1">
        <v>1.5280093826138399</v>
      </c>
      <c r="R43" s="1">
        <v>312.8</v>
      </c>
      <c r="S43" s="1">
        <v>23.663040160000001</v>
      </c>
      <c r="U43" s="1">
        <v>0.533020462216657</v>
      </c>
      <c r="V43" s="1">
        <v>322.89999999999998</v>
      </c>
      <c r="W43" s="1">
        <v>20.512092590000002</v>
      </c>
      <c r="Y43" s="1">
        <v>3.61486630635676E-2</v>
      </c>
      <c r="Z43" s="1">
        <v>343</v>
      </c>
      <c r="AA43" s="1">
        <v>0.12112854000000001</v>
      </c>
      <c r="AC43" s="1">
        <v>2.7432564715765901E-2</v>
      </c>
      <c r="AD43" s="1">
        <v>363</v>
      </c>
      <c r="AE43" s="1">
        <v>0.36336622000000002</v>
      </c>
    </row>
    <row r="44" spans="1:31" x14ac:dyDescent="0.3">
      <c r="A44" s="1">
        <v>1.6936681261447499</v>
      </c>
      <c r="B44" s="1">
        <v>273.39999999999998</v>
      </c>
      <c r="C44" s="1">
        <v>22.936328889999999</v>
      </c>
      <c r="E44" s="1">
        <v>1.70218539609634</v>
      </c>
      <c r="F44" s="1">
        <v>283.5</v>
      </c>
      <c r="G44" s="1">
        <v>18.34787369</v>
      </c>
      <c r="I44" s="1">
        <v>0.63755527124601297</v>
      </c>
      <c r="J44" s="1">
        <v>293.10000000000002</v>
      </c>
      <c r="K44" s="1">
        <v>8.0661830900000009</v>
      </c>
      <c r="M44" s="1">
        <v>1.5851691249683699</v>
      </c>
      <c r="N44" s="1">
        <v>305.89999999999998</v>
      </c>
      <c r="O44" s="1">
        <v>20.69957161</v>
      </c>
      <c r="Q44" s="1">
        <v>1.51797727702574</v>
      </c>
      <c r="R44" s="1">
        <v>312.8</v>
      </c>
      <c r="S44" s="1">
        <v>23.39004517</v>
      </c>
      <c r="U44" s="1">
        <v>0.47543098699243203</v>
      </c>
      <c r="V44" s="1">
        <v>322.89999999999998</v>
      </c>
      <c r="W44" s="1">
        <v>19.897033690000001</v>
      </c>
      <c r="Y44" s="1">
        <v>3.1190111971436601E-2</v>
      </c>
      <c r="Z44" s="1">
        <v>343</v>
      </c>
      <c r="AA44" s="1">
        <v>7.7076599999999995E-2</v>
      </c>
      <c r="AC44" s="1">
        <v>1.6123935172220698E-2</v>
      </c>
      <c r="AD44" s="1">
        <v>363</v>
      </c>
      <c r="AE44" s="1">
        <v>0.19269495</v>
      </c>
    </row>
    <row r="45" spans="1:31" x14ac:dyDescent="0.3">
      <c r="A45" s="1">
        <v>1.69216803767651</v>
      </c>
      <c r="B45" s="1">
        <v>273.39999999999998</v>
      </c>
      <c r="C45" s="1">
        <v>22.5179081</v>
      </c>
      <c r="E45" s="1">
        <v>1.70059921905453</v>
      </c>
      <c r="F45" s="1">
        <v>283.5</v>
      </c>
      <c r="G45" s="1">
        <v>17.940027239999999</v>
      </c>
      <c r="I45" s="1">
        <v>0.56783123645724898</v>
      </c>
      <c r="J45" s="1">
        <v>293.10000000000002</v>
      </c>
      <c r="K45" s="1">
        <v>7.8458147</v>
      </c>
      <c r="M45" s="1">
        <v>1.5799290312170799</v>
      </c>
      <c r="N45" s="1">
        <v>305.89999999999998</v>
      </c>
      <c r="O45" s="1">
        <v>20.327905650000002</v>
      </c>
      <c r="Q45" s="1">
        <v>1.50723224213222</v>
      </c>
      <c r="R45" s="1">
        <v>312.8</v>
      </c>
      <c r="S45" s="1">
        <v>23.06442642</v>
      </c>
      <c r="U45" s="1">
        <v>0.42181501352362699</v>
      </c>
      <c r="V45" s="1">
        <v>322.89999999999998</v>
      </c>
      <c r="W45" s="1">
        <v>19.232637409999999</v>
      </c>
      <c r="Y45" s="1">
        <v>2.5374205026603199E-2</v>
      </c>
      <c r="Z45" s="1">
        <v>343</v>
      </c>
      <c r="AA45" s="1">
        <v>6.0563119999999998E-2</v>
      </c>
      <c r="AC45" s="1">
        <v>9.1684153038364604E-3</v>
      </c>
      <c r="AD45" s="1">
        <v>363</v>
      </c>
      <c r="AE45" s="1">
        <v>0.11011156</v>
      </c>
    </row>
    <row r="46" spans="1:31" x14ac:dyDescent="0.3">
      <c r="A46" s="1">
        <v>1.6894374414578699</v>
      </c>
      <c r="B46" s="1">
        <v>273.39999999999998</v>
      </c>
      <c r="C46" s="1">
        <v>22.099479680000002</v>
      </c>
      <c r="E46" s="1">
        <v>1.6972947691771401</v>
      </c>
      <c r="F46" s="1">
        <v>283.5</v>
      </c>
      <c r="G46" s="1">
        <v>17.591382979999999</v>
      </c>
      <c r="I46" s="1">
        <v>0.49861989404406398</v>
      </c>
      <c r="J46" s="1">
        <v>293.10000000000002</v>
      </c>
      <c r="K46" s="1">
        <v>7.6254458400000003</v>
      </c>
      <c r="M46" s="1">
        <v>1.5740654874489199</v>
      </c>
      <c r="N46" s="1">
        <v>305.89999999999998</v>
      </c>
      <c r="O46" s="1">
        <v>19.808227540000001</v>
      </c>
      <c r="Q46" s="1">
        <v>1.4980256146411599</v>
      </c>
      <c r="R46" s="1">
        <v>312.8</v>
      </c>
      <c r="S46" s="1">
        <v>22.814455030000001</v>
      </c>
      <c r="U46" s="1">
        <v>0.38278098070244598</v>
      </c>
      <c r="V46" s="1">
        <v>322.89999999999998</v>
      </c>
      <c r="W46" s="1">
        <v>18.581399919999999</v>
      </c>
      <c r="Y46" s="1">
        <v>2.3156370092411099E-2</v>
      </c>
      <c r="Z46" s="1">
        <v>343</v>
      </c>
      <c r="AA46" s="1">
        <v>4.404164E-2</v>
      </c>
      <c r="AC46" s="1">
        <v>2.5022089330719701E-3</v>
      </c>
      <c r="AD46" s="1">
        <v>363</v>
      </c>
      <c r="AE46" s="1">
        <v>7.7076599999999995E-2</v>
      </c>
    </row>
    <row r="47" spans="1:31" x14ac:dyDescent="0.3">
      <c r="A47" s="1">
        <v>1.6867422664230001</v>
      </c>
      <c r="B47" s="1">
        <v>273.39999999999998</v>
      </c>
      <c r="C47" s="1">
        <v>21.686553960000001</v>
      </c>
      <c r="E47" s="1">
        <v>1.6936812101301399</v>
      </c>
      <c r="F47" s="1">
        <v>283.5</v>
      </c>
      <c r="G47" s="1">
        <v>17.21971512</v>
      </c>
      <c r="I47" s="1">
        <v>0.43401410731780998</v>
      </c>
      <c r="J47" s="1">
        <v>293.10000000000002</v>
      </c>
      <c r="K47" s="1">
        <v>7.4149441700000001</v>
      </c>
      <c r="M47" s="1">
        <v>1.56920610412699</v>
      </c>
      <c r="N47" s="1">
        <v>305.89999999999998</v>
      </c>
      <c r="O47" s="1">
        <v>19.420116419999999</v>
      </c>
      <c r="Q47" s="1">
        <v>1.48735664097648</v>
      </c>
      <c r="R47" s="1">
        <v>312.8</v>
      </c>
      <c r="S47" s="1">
        <v>22.498702999999999</v>
      </c>
      <c r="U47" s="1">
        <v>0.34907043943598998</v>
      </c>
      <c r="V47" s="1">
        <v>322.89999999999998</v>
      </c>
      <c r="W47" s="1">
        <v>17.821619030000001</v>
      </c>
      <c r="Y47" s="1">
        <v>2.1196800378045399E-2</v>
      </c>
      <c r="Z47" s="1">
        <v>343</v>
      </c>
      <c r="AA47" s="1">
        <v>3.3032659999999998E-2</v>
      </c>
      <c r="AC47" s="1">
        <v>0</v>
      </c>
      <c r="AD47" s="1">
        <v>363</v>
      </c>
      <c r="AE47" s="1">
        <v>0</v>
      </c>
    </row>
    <row r="48" spans="1:31" x14ac:dyDescent="0.3">
      <c r="A48" s="1">
        <v>1.6852385127960201</v>
      </c>
      <c r="B48" s="1">
        <v>273.39999999999998</v>
      </c>
      <c r="C48" s="1">
        <v>21.26814079</v>
      </c>
      <c r="E48" s="1">
        <v>1.6910517584342699</v>
      </c>
      <c r="F48" s="1">
        <v>283.5</v>
      </c>
      <c r="G48" s="1">
        <v>16.8085804</v>
      </c>
      <c r="I48" s="1">
        <v>0.37014035153196301</v>
      </c>
      <c r="J48" s="1">
        <v>293.10000000000002</v>
      </c>
      <c r="K48" s="1">
        <v>7.1847081199999998</v>
      </c>
      <c r="M48" s="1">
        <v>1.5645159434812099</v>
      </c>
      <c r="N48" s="1">
        <v>305.89999999999998</v>
      </c>
      <c r="O48" s="1">
        <v>19.091207499999999</v>
      </c>
      <c r="Q48" s="1">
        <v>1.4728303081949199</v>
      </c>
      <c r="R48" s="1">
        <v>312.8</v>
      </c>
      <c r="S48" s="1">
        <v>22.03822899</v>
      </c>
      <c r="U48" s="1">
        <v>0.325211128643906</v>
      </c>
      <c r="V48" s="1">
        <v>322.89999999999998</v>
      </c>
      <c r="W48" s="1">
        <v>17.058551789999999</v>
      </c>
      <c r="Y48" s="1">
        <v>1.87785629235508E-2</v>
      </c>
      <c r="Z48" s="1">
        <v>343</v>
      </c>
      <c r="AA48" s="1">
        <v>2.7528170000000001E-2</v>
      </c>
    </row>
    <row r="49" spans="1:27" x14ac:dyDescent="0.3">
      <c r="A49" s="1">
        <v>1.6834176452690699</v>
      </c>
      <c r="B49" s="1">
        <v>273.39999999999998</v>
      </c>
      <c r="C49" s="1">
        <v>20.838693620000001</v>
      </c>
      <c r="E49" s="1">
        <v>1.6886187823207901</v>
      </c>
      <c r="F49" s="1">
        <v>283.5</v>
      </c>
      <c r="G49" s="1">
        <v>16.450069429999999</v>
      </c>
      <c r="I49" s="1">
        <v>0.30680946490564298</v>
      </c>
      <c r="J49" s="1">
        <v>293.10000000000002</v>
      </c>
      <c r="K49" s="1">
        <v>6.9051351500000004</v>
      </c>
      <c r="M49" s="1">
        <v>1.5591234436114101</v>
      </c>
      <c r="N49" s="1">
        <v>305.89999999999998</v>
      </c>
      <c r="O49" s="1">
        <v>18.75900841</v>
      </c>
      <c r="Q49" s="1">
        <v>1.46001450639871</v>
      </c>
      <c r="R49" s="1">
        <v>312.8</v>
      </c>
      <c r="S49" s="1">
        <v>21.719188689999999</v>
      </c>
      <c r="U49" s="1">
        <v>0.30619946775685603</v>
      </c>
      <c r="V49" s="1">
        <v>322.89999999999998</v>
      </c>
      <c r="W49" s="1">
        <v>16.246145250000001</v>
      </c>
      <c r="Y49" s="1">
        <v>1.5901657728927501E-2</v>
      </c>
      <c r="Z49" s="1">
        <v>343</v>
      </c>
      <c r="AA49" s="1">
        <v>2.7528170000000001E-2</v>
      </c>
    </row>
    <row r="50" spans="1:27" x14ac:dyDescent="0.3">
      <c r="A50" s="1">
        <v>1.68138428651246</v>
      </c>
      <c r="B50" s="1">
        <v>273.39999999999998</v>
      </c>
      <c r="C50" s="1">
        <v>20.414768219999999</v>
      </c>
      <c r="E50" s="1">
        <v>1.6839804321018199</v>
      </c>
      <c r="F50" s="1">
        <v>283.5</v>
      </c>
      <c r="G50" s="1">
        <v>16.0981369</v>
      </c>
      <c r="I50" s="1">
        <v>0.244075352510009</v>
      </c>
      <c r="J50" s="1">
        <v>293.10000000000002</v>
      </c>
      <c r="K50" s="1">
        <v>6.5038671499999996</v>
      </c>
      <c r="M50" s="1">
        <v>1.5537022596077701</v>
      </c>
      <c r="N50" s="1">
        <v>305.89999999999998</v>
      </c>
      <c r="O50" s="1">
        <v>18.39391899</v>
      </c>
      <c r="Q50" s="1">
        <v>1.4478410372863499</v>
      </c>
      <c r="R50" s="1">
        <v>312.8</v>
      </c>
      <c r="S50" s="1">
        <v>21.449483870000002</v>
      </c>
      <c r="U50" s="1">
        <v>0.29085709989943398</v>
      </c>
      <c r="V50" s="1">
        <v>322.89999999999998</v>
      </c>
      <c r="W50" s="1">
        <v>15.39098263</v>
      </c>
      <c r="Y50" s="1">
        <v>1.6559316704004502E-2</v>
      </c>
      <c r="Z50" s="1">
        <v>343</v>
      </c>
      <c r="AA50" s="1">
        <v>1.100669E-2</v>
      </c>
    </row>
    <row r="51" spans="1:27" x14ac:dyDescent="0.3">
      <c r="A51" s="1">
        <v>1.6793871126872</v>
      </c>
      <c r="B51" s="1">
        <v>273.39999999999998</v>
      </c>
      <c r="C51" s="1">
        <v>19.99633789</v>
      </c>
      <c r="E51" s="1">
        <v>1.68037689402875</v>
      </c>
      <c r="F51" s="1">
        <v>283.5</v>
      </c>
      <c r="G51" s="1">
        <v>15.696867940000001</v>
      </c>
      <c r="I51" s="1">
        <v>0.19131971046166599</v>
      </c>
      <c r="J51" s="1">
        <v>293.10000000000002</v>
      </c>
      <c r="K51" s="1">
        <v>5.8493385299999998</v>
      </c>
      <c r="M51" s="1">
        <v>1.5459428510095199</v>
      </c>
      <c r="N51" s="1">
        <v>305.89999999999998</v>
      </c>
      <c r="O51" s="1">
        <v>18.00251961</v>
      </c>
      <c r="Q51" s="1">
        <v>1.43555198271454</v>
      </c>
      <c r="R51" s="1">
        <v>312.8</v>
      </c>
      <c r="S51" s="1">
        <v>21.209381100000002</v>
      </c>
      <c r="U51" s="1">
        <v>0.27470276197841798</v>
      </c>
      <c r="V51" s="1">
        <v>322.89999999999998</v>
      </c>
      <c r="W51" s="1">
        <v>14.40754604</v>
      </c>
      <c r="Y51" s="1">
        <v>1.2043909213105599E-2</v>
      </c>
      <c r="Z51" s="1">
        <v>343</v>
      </c>
      <c r="AA51" s="1">
        <v>2.202368E-2</v>
      </c>
    </row>
    <row r="52" spans="1:27" x14ac:dyDescent="0.3">
      <c r="A52" s="1">
        <v>1.67643748879558</v>
      </c>
      <c r="B52" s="1">
        <v>273.39999999999998</v>
      </c>
      <c r="C52" s="1">
        <v>19.58342171</v>
      </c>
      <c r="E52" s="1">
        <v>1.6782367101164499</v>
      </c>
      <c r="F52" s="1">
        <v>283.5</v>
      </c>
      <c r="G52" s="1">
        <v>15.312045100000001</v>
      </c>
      <c r="I52" s="1">
        <v>0.16569484140572799</v>
      </c>
      <c r="J52" s="1">
        <v>293.10000000000002</v>
      </c>
      <c r="K52" s="1">
        <v>5.1717863099999999</v>
      </c>
      <c r="M52" s="1">
        <v>1.5386033817204301</v>
      </c>
      <c r="N52" s="1">
        <v>305.89999999999998</v>
      </c>
      <c r="O52" s="1">
        <v>17.663743969999999</v>
      </c>
      <c r="Q52" s="1">
        <v>1.42449765443813</v>
      </c>
      <c r="R52" s="1">
        <v>312.8</v>
      </c>
      <c r="S52" s="1">
        <v>20.9725666</v>
      </c>
      <c r="U52" s="1">
        <v>0.26244109171243302</v>
      </c>
      <c r="V52" s="1">
        <v>322.89999999999998</v>
      </c>
      <c r="W52" s="1">
        <v>13.51949215</v>
      </c>
      <c r="Y52" s="1">
        <v>9.8860539064687808E-3</v>
      </c>
      <c r="Z52" s="1">
        <v>343</v>
      </c>
      <c r="AA52" s="1">
        <v>2.202368E-2</v>
      </c>
    </row>
    <row r="53" spans="1:27" x14ac:dyDescent="0.3">
      <c r="A53" s="1">
        <v>1.6742255865520601</v>
      </c>
      <c r="B53" s="1">
        <v>273.39999999999998</v>
      </c>
      <c r="C53" s="1">
        <v>19.170505519999999</v>
      </c>
      <c r="E53" s="1">
        <v>1.6749337580308801</v>
      </c>
      <c r="F53" s="1">
        <v>283.5</v>
      </c>
      <c r="G53" s="1">
        <v>14.97655773</v>
      </c>
      <c r="I53" s="1">
        <v>0.14590837388692299</v>
      </c>
      <c r="J53" s="1">
        <v>293.10000000000002</v>
      </c>
      <c r="K53" s="1">
        <v>4.4580540700000002</v>
      </c>
      <c r="M53" s="1">
        <v>1.53081192890215</v>
      </c>
      <c r="N53" s="1">
        <v>305.89999999999998</v>
      </c>
      <c r="O53" s="1">
        <v>17.321678160000001</v>
      </c>
      <c r="Q53" s="1">
        <v>1.41031808518433</v>
      </c>
      <c r="R53" s="1">
        <v>312.8</v>
      </c>
      <c r="S53" s="1">
        <v>20.739040370000001</v>
      </c>
      <c r="U53" s="1">
        <v>0.24924972693783801</v>
      </c>
      <c r="V53" s="1">
        <v>322.89999999999998</v>
      </c>
      <c r="W53" s="1">
        <v>12.65775013</v>
      </c>
      <c r="Y53" s="1">
        <v>1.0085045141417E-2</v>
      </c>
      <c r="Z53" s="1">
        <v>343</v>
      </c>
      <c r="AA53" s="1">
        <v>1.100669E-2</v>
      </c>
    </row>
    <row r="54" spans="1:27" x14ac:dyDescent="0.3">
      <c r="A54" s="1">
        <v>1.67215211850824</v>
      </c>
      <c r="B54" s="1">
        <v>273.39999999999998</v>
      </c>
      <c r="C54" s="1">
        <v>18.741058349999999</v>
      </c>
      <c r="E54" s="1">
        <v>1.6700947612520001</v>
      </c>
      <c r="F54" s="1">
        <v>283.5</v>
      </c>
      <c r="G54" s="1">
        <v>14.634492870000001</v>
      </c>
      <c r="I54" s="1">
        <v>0.12690218407197901</v>
      </c>
      <c r="J54" s="1">
        <v>293.10000000000002</v>
      </c>
      <c r="K54" s="1">
        <v>3.7081420399999998</v>
      </c>
      <c r="M54" s="1">
        <v>1.52029659187807</v>
      </c>
      <c r="N54" s="1">
        <v>305.89999999999998</v>
      </c>
      <c r="O54" s="1">
        <v>16.94672203</v>
      </c>
      <c r="Q54" s="1">
        <v>1.3972166054123101</v>
      </c>
      <c r="R54" s="1">
        <v>312.8</v>
      </c>
      <c r="S54" s="1">
        <v>20.551563260000002</v>
      </c>
      <c r="U54" s="1">
        <v>0.234759260501679</v>
      </c>
      <c r="V54" s="1">
        <v>322.89999999999998</v>
      </c>
      <c r="W54" s="1">
        <v>11.62497711</v>
      </c>
      <c r="Y54" s="1">
        <v>1.1001674978997501E-2</v>
      </c>
      <c r="Z54" s="1">
        <v>343</v>
      </c>
      <c r="AA54" s="1">
        <v>-2.2900000000000001E-6</v>
      </c>
    </row>
    <row r="55" spans="1:27" x14ac:dyDescent="0.3">
      <c r="A55" s="1">
        <v>1.67007752655894</v>
      </c>
      <c r="B55" s="1">
        <v>273.39999999999998</v>
      </c>
      <c r="C55" s="1">
        <v>18.311628339999999</v>
      </c>
      <c r="E55" s="1">
        <v>1.6664782038648001</v>
      </c>
      <c r="F55" s="1">
        <v>283.5</v>
      </c>
      <c r="G55" s="1">
        <v>14.27927113</v>
      </c>
      <c r="I55" s="1">
        <v>0.104529696878082</v>
      </c>
      <c r="J55" s="1">
        <v>293.10000000000002</v>
      </c>
      <c r="K55" s="1">
        <v>2.8760025499999999</v>
      </c>
      <c r="M55" s="1">
        <v>1.5105265220215101</v>
      </c>
      <c r="N55" s="1">
        <v>305.89999999999998</v>
      </c>
      <c r="O55" s="1">
        <v>16.644124980000001</v>
      </c>
      <c r="Q55" s="1">
        <v>1.38278365338328</v>
      </c>
      <c r="R55" s="1">
        <v>312.8</v>
      </c>
      <c r="S55" s="1">
        <v>20.334482189999999</v>
      </c>
      <c r="U55" s="1">
        <v>0.22215216779444</v>
      </c>
      <c r="V55" s="1">
        <v>322.89999999999998</v>
      </c>
      <c r="W55" s="1">
        <v>10.786258699999999</v>
      </c>
    </row>
    <row r="56" spans="1:27" x14ac:dyDescent="0.3">
      <c r="A56" s="1">
        <v>1.6669829225671</v>
      </c>
      <c r="B56" s="1">
        <v>273.39999999999998</v>
      </c>
      <c r="C56" s="1">
        <v>17.915224080000002</v>
      </c>
      <c r="E56" s="1">
        <v>1.6631001098774201</v>
      </c>
      <c r="F56" s="1">
        <v>283.5</v>
      </c>
      <c r="G56" s="1">
        <v>13.8911581</v>
      </c>
      <c r="I56" s="1">
        <v>8.2110240086849806E-2</v>
      </c>
      <c r="J56" s="1">
        <v>293.10000000000002</v>
      </c>
      <c r="K56" s="1">
        <v>2.1392467000000002</v>
      </c>
      <c r="M56" s="1">
        <v>1.50140450851839</v>
      </c>
      <c r="N56" s="1">
        <v>305.89999999999998</v>
      </c>
      <c r="O56" s="1">
        <v>16.404022220000002</v>
      </c>
      <c r="Q56" s="1">
        <v>1.36371772100499</v>
      </c>
      <c r="R56" s="1">
        <v>312.8</v>
      </c>
      <c r="S56" s="1">
        <v>20.097667690000002</v>
      </c>
      <c r="U56" s="1">
        <v>0.20997847952145199</v>
      </c>
      <c r="V56" s="1">
        <v>322.89999999999998</v>
      </c>
      <c r="W56" s="1">
        <v>9.9541206399999993</v>
      </c>
    </row>
    <row r="57" spans="1:27" x14ac:dyDescent="0.3">
      <c r="A57" s="1">
        <v>1.66409751343447</v>
      </c>
      <c r="B57" s="1">
        <v>273.39999999999998</v>
      </c>
      <c r="C57" s="1">
        <v>17.513317109999999</v>
      </c>
      <c r="E57" s="1">
        <v>1.6570458332798801</v>
      </c>
      <c r="F57" s="1">
        <v>283.5</v>
      </c>
      <c r="G57" s="1">
        <v>13.4898901</v>
      </c>
      <c r="I57" s="1">
        <v>5.6565806246378102E-2</v>
      </c>
      <c r="J57" s="1">
        <v>293.10000000000002</v>
      </c>
      <c r="K57" s="1">
        <v>1.43538213</v>
      </c>
      <c r="M57" s="1">
        <v>1.4903171667164701</v>
      </c>
      <c r="N57" s="1">
        <v>305.89999999999998</v>
      </c>
      <c r="O57" s="1">
        <v>16.108003620000002</v>
      </c>
      <c r="Q57" s="1">
        <v>1.3416632414904699</v>
      </c>
      <c r="R57" s="1">
        <v>312.8</v>
      </c>
      <c r="S57" s="1">
        <v>19.854274749999998</v>
      </c>
      <c r="U57" s="1">
        <v>0.19564094796909701</v>
      </c>
      <c r="V57" s="1">
        <v>322.89999999999998</v>
      </c>
      <c r="W57" s="1">
        <v>9.0101518600000006</v>
      </c>
    </row>
    <row r="58" spans="1:27" x14ac:dyDescent="0.3">
      <c r="A58" s="1">
        <v>1.6620198172532701</v>
      </c>
      <c r="B58" s="1">
        <v>273.39999999999998</v>
      </c>
      <c r="C58" s="1">
        <v>17.083877560000001</v>
      </c>
      <c r="E58" s="1">
        <v>1.6536367447597</v>
      </c>
      <c r="F58" s="1">
        <v>283.5</v>
      </c>
      <c r="G58" s="1">
        <v>13.17084885</v>
      </c>
      <c r="I58" s="1">
        <v>3.6614580016476599E-2</v>
      </c>
      <c r="J58" s="1">
        <v>293.10000000000002</v>
      </c>
      <c r="K58" s="1">
        <v>0.99793332999999995</v>
      </c>
      <c r="M58" s="1">
        <v>1.4796532960664099</v>
      </c>
      <c r="N58" s="1">
        <v>305.89999999999998</v>
      </c>
      <c r="O58" s="1">
        <v>15.864611630000001</v>
      </c>
      <c r="Q58" s="1">
        <v>1.32625521711937</v>
      </c>
      <c r="R58" s="1">
        <v>312.8</v>
      </c>
      <c r="S58" s="1">
        <v>19.699687959999999</v>
      </c>
      <c r="U58" s="1">
        <v>0.18309127960930199</v>
      </c>
      <c r="V58" s="1">
        <v>322.89999999999998</v>
      </c>
      <c r="W58" s="1">
        <v>8.17801285</v>
      </c>
    </row>
    <row r="59" spans="1:27" x14ac:dyDescent="0.3">
      <c r="A59" s="1">
        <v>1.65994790772342</v>
      </c>
      <c r="B59" s="1">
        <v>273.39999999999998</v>
      </c>
      <c r="C59" s="1">
        <v>16.692979810000001</v>
      </c>
      <c r="E59" s="1">
        <v>1.6506506387470301</v>
      </c>
      <c r="F59" s="1">
        <v>283.5</v>
      </c>
      <c r="G59" s="1">
        <v>12.864963530000001</v>
      </c>
      <c r="I59" s="1">
        <v>2.1133658053870401E-2</v>
      </c>
      <c r="J59" s="1">
        <v>293.10000000000002</v>
      </c>
      <c r="K59" s="1">
        <v>0.72493898999999995</v>
      </c>
      <c r="M59" s="1">
        <v>1.4695405952874201</v>
      </c>
      <c r="N59" s="1">
        <v>305.89999999999998</v>
      </c>
      <c r="O59" s="1">
        <v>15.59819508</v>
      </c>
      <c r="Q59" s="1">
        <v>1.30378484416637</v>
      </c>
      <c r="R59" s="1">
        <v>312.8</v>
      </c>
      <c r="S59" s="1">
        <v>19.499053960000001</v>
      </c>
      <c r="U59" s="1">
        <v>0.168554258831043</v>
      </c>
      <c r="V59" s="1">
        <v>322.89999999999998</v>
      </c>
      <c r="W59" s="1">
        <v>7.2603568999999997</v>
      </c>
    </row>
    <row r="60" spans="1:27" x14ac:dyDescent="0.3">
      <c r="A60" s="1">
        <v>1.65695011889916</v>
      </c>
      <c r="B60" s="1">
        <v>273.39999999999998</v>
      </c>
      <c r="C60" s="1">
        <v>16.274549480000001</v>
      </c>
      <c r="E60" s="1">
        <v>1.6466580980644001</v>
      </c>
      <c r="F60" s="1">
        <v>283.5</v>
      </c>
      <c r="G60" s="1">
        <v>12.585390090000001</v>
      </c>
      <c r="I60" s="1">
        <v>8.3049622613044407E-3</v>
      </c>
      <c r="J60" s="1">
        <v>293.10000000000002</v>
      </c>
      <c r="K60" s="1">
        <v>0.55390638000000003</v>
      </c>
      <c r="M60" s="1">
        <v>1.4592123642639001</v>
      </c>
      <c r="N60" s="1">
        <v>305.89999999999998</v>
      </c>
      <c r="O60" s="1">
        <v>15.39098263</v>
      </c>
      <c r="Q60" s="1">
        <v>1.2851007530879399</v>
      </c>
      <c r="R60" s="1">
        <v>312.8</v>
      </c>
      <c r="S60" s="1">
        <v>19.341176990000001</v>
      </c>
      <c r="U60" s="1">
        <v>0.15182668507681699</v>
      </c>
      <c r="V60" s="1">
        <v>322.89999999999998</v>
      </c>
      <c r="W60" s="1">
        <v>6.2045598000000002</v>
      </c>
    </row>
    <row r="61" spans="1:27" x14ac:dyDescent="0.3">
      <c r="A61" s="1">
        <v>1.6545842420519701</v>
      </c>
      <c r="B61" s="1">
        <v>273.39999999999998</v>
      </c>
      <c r="C61" s="1">
        <v>15.83961487</v>
      </c>
      <c r="E61" s="1">
        <v>1.6415254515839199</v>
      </c>
      <c r="F61" s="1">
        <v>283.5</v>
      </c>
      <c r="G61" s="1">
        <v>12.309106829999999</v>
      </c>
      <c r="I61" s="1">
        <v>0</v>
      </c>
      <c r="J61" s="1">
        <v>293.10000000000002</v>
      </c>
      <c r="K61" s="1">
        <v>0.42234286999999998</v>
      </c>
      <c r="M61" s="1">
        <v>1.45033190021819</v>
      </c>
      <c r="N61" s="1">
        <v>305.89999999999998</v>
      </c>
      <c r="O61" s="1">
        <v>15.21008301</v>
      </c>
      <c r="Q61" s="1">
        <v>1.2610030089725</v>
      </c>
      <c r="R61" s="1">
        <v>312.8</v>
      </c>
      <c r="S61" s="1">
        <v>19.147121429999999</v>
      </c>
      <c r="U61" s="1">
        <v>0.13387802155098899</v>
      </c>
      <c r="V61" s="1">
        <v>322.89999999999998</v>
      </c>
      <c r="W61" s="1">
        <v>5.1783642800000003</v>
      </c>
    </row>
    <row r="62" spans="1:27" x14ac:dyDescent="0.3">
      <c r="A62" s="1">
        <v>1.65105007493042</v>
      </c>
      <c r="B62" s="1">
        <v>273.39999999999998</v>
      </c>
      <c r="C62" s="1">
        <v>15.415680890000001</v>
      </c>
      <c r="E62" s="1">
        <v>1.63763525082279</v>
      </c>
      <c r="F62" s="1">
        <v>283.5</v>
      </c>
      <c r="G62" s="1">
        <v>12.00979996</v>
      </c>
      <c r="M62" s="1">
        <v>1.4365390507957601</v>
      </c>
      <c r="N62" s="1">
        <v>305.89999999999998</v>
      </c>
      <c r="O62" s="1">
        <v>14.96998024</v>
      </c>
      <c r="Q62" s="1">
        <v>1.2443097896042199</v>
      </c>
      <c r="R62" s="1">
        <v>312.8</v>
      </c>
      <c r="S62" s="1">
        <v>19.015558240000001</v>
      </c>
      <c r="U62" s="1">
        <v>0.115830059785235</v>
      </c>
      <c r="V62" s="1">
        <v>322.89999999999998</v>
      </c>
      <c r="W62" s="1">
        <v>4.2080831500000002</v>
      </c>
    </row>
    <row r="63" spans="1:27" x14ac:dyDescent="0.3">
      <c r="A63" s="1">
        <v>1.64965617602268</v>
      </c>
      <c r="B63" s="1">
        <v>273.39999999999998</v>
      </c>
      <c r="C63" s="1">
        <v>15.090851779999999</v>
      </c>
      <c r="E63" s="1">
        <v>1.6351452542345899</v>
      </c>
      <c r="F63" s="1">
        <v>283.5</v>
      </c>
      <c r="G63" s="1">
        <v>11.7861414</v>
      </c>
      <c r="M63" s="1">
        <v>1.4239094026188599</v>
      </c>
      <c r="N63" s="1">
        <v>305.89999999999998</v>
      </c>
      <c r="O63" s="1">
        <v>14.766057010000001</v>
      </c>
      <c r="Q63" s="1">
        <v>1.22310034854361</v>
      </c>
      <c r="R63" s="1">
        <v>312.8</v>
      </c>
      <c r="S63" s="1">
        <v>18.877416610000001</v>
      </c>
      <c r="U63" s="1">
        <v>9.9322181951969193E-2</v>
      </c>
      <c r="V63" s="1">
        <v>322.89999999999998</v>
      </c>
      <c r="W63" s="1">
        <v>3.3923895399999999</v>
      </c>
    </row>
    <row r="64" spans="1:27" x14ac:dyDescent="0.3">
      <c r="A64" s="1">
        <v>1.6457407435285401</v>
      </c>
      <c r="B64" s="1">
        <v>273.39999999999998</v>
      </c>
      <c r="C64" s="1">
        <v>14.76051807</v>
      </c>
      <c r="E64" s="1">
        <v>1.6305936126068901</v>
      </c>
      <c r="F64" s="1">
        <v>283.5</v>
      </c>
      <c r="G64" s="1">
        <v>11.58221912</v>
      </c>
      <c r="M64" s="1">
        <v>1.41100180999185</v>
      </c>
      <c r="N64" s="1">
        <v>305.89999999999998</v>
      </c>
      <c r="O64" s="1">
        <v>14.595024110000001</v>
      </c>
      <c r="Q64" s="1">
        <v>1.2035607699434201</v>
      </c>
      <c r="R64" s="1">
        <v>312.8</v>
      </c>
      <c r="S64" s="1">
        <v>18.74256325</v>
      </c>
      <c r="U64" s="1">
        <v>8.0760512003236806E-2</v>
      </c>
      <c r="V64" s="1">
        <v>322.89999999999998</v>
      </c>
      <c r="W64" s="1">
        <v>2.5734064600000002</v>
      </c>
    </row>
    <row r="65" spans="1:23" x14ac:dyDescent="0.3">
      <c r="A65" s="1">
        <v>1.6437749599714999</v>
      </c>
      <c r="B65" s="1">
        <v>273.39999999999998</v>
      </c>
      <c r="C65" s="1">
        <v>14.424672129999999</v>
      </c>
      <c r="E65" s="1">
        <v>1.6257696075338799</v>
      </c>
      <c r="F65" s="1">
        <v>283.5</v>
      </c>
      <c r="G65" s="1">
        <v>11.335536960000001</v>
      </c>
      <c r="M65" s="1">
        <v>1.3960001465879901</v>
      </c>
      <c r="N65" s="1">
        <v>305.89999999999998</v>
      </c>
      <c r="O65" s="1">
        <v>14.42070198</v>
      </c>
      <c r="Q65" s="1">
        <v>1.1761653406434101</v>
      </c>
      <c r="R65" s="1">
        <v>312.8</v>
      </c>
      <c r="S65" s="1">
        <v>18.578109739999999</v>
      </c>
      <c r="U65" s="1">
        <v>6.0029567345813599E-2</v>
      </c>
      <c r="V65" s="1">
        <v>322.89999999999998</v>
      </c>
      <c r="W65" s="1">
        <v>1.78731453</v>
      </c>
    </row>
    <row r="66" spans="1:23" x14ac:dyDescent="0.3">
      <c r="A66" s="1">
        <v>1.6401335419068901</v>
      </c>
      <c r="B66" s="1">
        <v>273.39999999999998</v>
      </c>
      <c r="C66" s="1">
        <v>14.06130409</v>
      </c>
      <c r="E66" s="1">
        <v>1.6220770458029901</v>
      </c>
      <c r="F66" s="1">
        <v>283.5</v>
      </c>
      <c r="G66" s="1">
        <v>11.07241058</v>
      </c>
      <c r="M66" s="1">
        <v>1.3791723088258501</v>
      </c>
      <c r="N66" s="1">
        <v>305.89999999999998</v>
      </c>
      <c r="O66" s="1">
        <v>14.243090629999999</v>
      </c>
      <c r="Q66" s="1">
        <v>1.1548337111317699</v>
      </c>
      <c r="R66" s="1">
        <v>312.8</v>
      </c>
      <c r="S66" s="1">
        <v>18.44983482</v>
      </c>
      <c r="U66" s="1">
        <v>3.9753175163404098E-2</v>
      </c>
      <c r="V66" s="1">
        <v>322.89999999999998</v>
      </c>
      <c r="W66" s="1">
        <v>1.1689658199999999</v>
      </c>
    </row>
    <row r="67" spans="1:23" x14ac:dyDescent="0.3">
      <c r="A67" s="1">
        <v>1.6372071452622901</v>
      </c>
      <c r="B67" s="1">
        <v>273.39999999999998</v>
      </c>
      <c r="C67" s="1">
        <v>13.73097038</v>
      </c>
      <c r="E67" s="1">
        <v>1.61561322823222</v>
      </c>
      <c r="F67" s="1">
        <v>283.5</v>
      </c>
      <c r="G67" s="1">
        <v>10.72047806</v>
      </c>
      <c r="M67" s="1">
        <v>1.3585495048179199</v>
      </c>
      <c r="N67" s="1">
        <v>305.89999999999998</v>
      </c>
      <c r="O67" s="1">
        <v>14.058902740000001</v>
      </c>
      <c r="Q67" s="1">
        <v>1.13062477980249</v>
      </c>
      <c r="R67" s="1">
        <v>312.8</v>
      </c>
      <c r="S67" s="1">
        <v>18.31169319</v>
      </c>
      <c r="U67" s="1">
        <v>2.4650050037531901E-2</v>
      </c>
      <c r="V67" s="1">
        <v>322.89999999999998</v>
      </c>
      <c r="W67" s="1">
        <v>0.81045526000000001</v>
      </c>
    </row>
    <row r="68" spans="1:23" x14ac:dyDescent="0.3">
      <c r="A68" s="1">
        <v>1.6358401662425699</v>
      </c>
      <c r="B68" s="1">
        <v>273.39999999999998</v>
      </c>
      <c r="C68" s="1">
        <v>13.373106</v>
      </c>
      <c r="E68" s="1">
        <v>1.61036385987648</v>
      </c>
      <c r="F68" s="1">
        <v>283.5</v>
      </c>
      <c r="G68" s="1">
        <v>10.53299999</v>
      </c>
      <c r="M68" s="1">
        <v>1.3397040027509399</v>
      </c>
      <c r="N68" s="1">
        <v>305.89999999999998</v>
      </c>
      <c r="O68" s="1">
        <v>13.910893440000001</v>
      </c>
      <c r="Q68" s="1">
        <v>1.11096479100808</v>
      </c>
      <c r="R68" s="1">
        <v>312.8</v>
      </c>
      <c r="S68" s="1">
        <v>18.18999672</v>
      </c>
      <c r="U68" s="1">
        <v>1.30107705720208E-2</v>
      </c>
      <c r="V68" s="1">
        <v>322.89999999999998</v>
      </c>
      <c r="W68" s="1">
        <v>0.59666454999999996</v>
      </c>
    </row>
    <row r="69" spans="1:23" x14ac:dyDescent="0.3">
      <c r="A69" s="1">
        <v>1.6322565924830399</v>
      </c>
      <c r="B69" s="1">
        <v>273.39999999999998</v>
      </c>
      <c r="C69" s="1">
        <v>12.94366741</v>
      </c>
      <c r="E69" s="1">
        <v>1.6047747768660401</v>
      </c>
      <c r="F69" s="1">
        <v>283.5</v>
      </c>
      <c r="G69" s="1">
        <v>10.25342751</v>
      </c>
      <c r="M69" s="1">
        <v>1.32256335412096</v>
      </c>
      <c r="N69" s="1">
        <v>305.89999999999998</v>
      </c>
      <c r="O69" s="1">
        <v>13.77275085</v>
      </c>
      <c r="Q69" s="1">
        <v>1.08479675945793</v>
      </c>
      <c r="R69" s="1">
        <v>312.8</v>
      </c>
      <c r="S69" s="1">
        <v>18.045276640000001</v>
      </c>
      <c r="U69" s="1">
        <v>5.0345071319848602E-3</v>
      </c>
      <c r="V69" s="1">
        <v>322.89999999999998</v>
      </c>
      <c r="W69" s="1">
        <v>0.45194471000000003</v>
      </c>
    </row>
    <row r="70" spans="1:23" x14ac:dyDescent="0.3">
      <c r="A70" s="1">
        <v>1.62847047838412</v>
      </c>
      <c r="B70" s="1">
        <v>273.39999999999998</v>
      </c>
      <c r="C70" s="1">
        <v>12.596812249999999</v>
      </c>
      <c r="E70" s="1">
        <v>1.59973324301352</v>
      </c>
      <c r="F70" s="1">
        <v>283.5</v>
      </c>
      <c r="G70" s="1">
        <v>10.01332378</v>
      </c>
      <c r="M70" s="1">
        <v>1.30453751064209</v>
      </c>
      <c r="N70" s="1">
        <v>305.89999999999998</v>
      </c>
      <c r="O70" s="1">
        <v>13.65434456</v>
      </c>
      <c r="Q70" s="1">
        <v>1.0609117910346499</v>
      </c>
      <c r="R70" s="1">
        <v>312.8</v>
      </c>
      <c r="S70" s="1">
        <v>17.91371346</v>
      </c>
    </row>
    <row r="71" spans="1:23" x14ac:dyDescent="0.3">
      <c r="A71" s="1">
        <v>1.6255029293394301</v>
      </c>
      <c r="B71" s="1">
        <v>273.39999999999998</v>
      </c>
      <c r="C71" s="1">
        <v>12.260974879999999</v>
      </c>
      <c r="E71" s="1">
        <v>1.59097893668274</v>
      </c>
      <c r="F71" s="1">
        <v>283.5</v>
      </c>
      <c r="G71" s="1">
        <v>9.74361897</v>
      </c>
      <c r="M71" s="1">
        <v>1.2868750508387199</v>
      </c>
      <c r="N71" s="1">
        <v>305.89999999999998</v>
      </c>
      <c r="O71" s="1">
        <v>13.539226530000001</v>
      </c>
      <c r="Q71" s="1">
        <v>1.0464326490762299</v>
      </c>
      <c r="R71" s="1">
        <v>312.8</v>
      </c>
      <c r="S71" s="1">
        <v>17.834775919999998</v>
      </c>
    </row>
    <row r="72" spans="1:23" x14ac:dyDescent="0.3">
      <c r="A72" s="1">
        <v>1.62178753514751</v>
      </c>
      <c r="B72" s="1">
        <v>273.39999999999998</v>
      </c>
      <c r="C72" s="1">
        <v>11.92512894</v>
      </c>
      <c r="E72" s="1">
        <v>1.5819822824838501</v>
      </c>
      <c r="F72" s="1">
        <v>283.5</v>
      </c>
      <c r="G72" s="1">
        <v>9.4607572599999994</v>
      </c>
      <c r="M72" s="1">
        <v>1.2680881612664501</v>
      </c>
      <c r="N72" s="1">
        <v>305.89999999999998</v>
      </c>
      <c r="O72" s="1">
        <v>13.433975220000001</v>
      </c>
      <c r="Q72" s="1">
        <v>1.0199725591836299</v>
      </c>
      <c r="R72" s="1">
        <v>312.8</v>
      </c>
      <c r="S72" s="1">
        <v>17.703212740000001</v>
      </c>
    </row>
    <row r="73" spans="1:23" x14ac:dyDescent="0.3">
      <c r="A73" s="1">
        <v>1.61942065781926</v>
      </c>
      <c r="B73" s="1">
        <v>273.39999999999998</v>
      </c>
      <c r="C73" s="1">
        <v>11.56726456</v>
      </c>
      <c r="E73" s="1">
        <v>1.5754787964510499</v>
      </c>
      <c r="F73" s="1">
        <v>283.5</v>
      </c>
      <c r="G73" s="1">
        <v>9.2338094700000006</v>
      </c>
      <c r="M73" s="1">
        <v>1.2415766965678401</v>
      </c>
      <c r="N73" s="1">
        <v>305.89999999999998</v>
      </c>
      <c r="O73" s="1">
        <v>13.292544360000001</v>
      </c>
      <c r="Q73" s="1">
        <v>0.99199597350472901</v>
      </c>
      <c r="R73" s="1">
        <v>312.8</v>
      </c>
      <c r="S73" s="1">
        <v>17.561780930000001</v>
      </c>
    </row>
    <row r="74" spans="1:23" x14ac:dyDescent="0.3">
      <c r="A74" s="1">
        <v>1.6152029487413699</v>
      </c>
      <c r="B74" s="1">
        <v>273.39999999999998</v>
      </c>
      <c r="C74" s="1">
        <v>11.231426239999999</v>
      </c>
      <c r="E74" s="1">
        <v>1.5692707600764599</v>
      </c>
      <c r="F74" s="1">
        <v>283.5</v>
      </c>
      <c r="G74" s="1">
        <v>9.0594882999999999</v>
      </c>
      <c r="M74" s="1">
        <v>1.2211761320286501</v>
      </c>
      <c r="N74" s="1">
        <v>305.89999999999998</v>
      </c>
      <c r="O74" s="1">
        <v>13.18729401</v>
      </c>
      <c r="Q74" s="1">
        <v>0.97465727989268003</v>
      </c>
      <c r="R74" s="1">
        <v>312.8</v>
      </c>
      <c r="S74" s="1">
        <v>17.469686509999999</v>
      </c>
    </row>
    <row r="75" spans="1:23" x14ac:dyDescent="0.3">
      <c r="A75" s="1">
        <v>1.61023357728205</v>
      </c>
      <c r="B75" s="1">
        <v>273.39999999999998</v>
      </c>
      <c r="C75" s="1">
        <v>10.89558029</v>
      </c>
      <c r="E75" s="1">
        <v>1.5582747534853201</v>
      </c>
      <c r="F75" s="1">
        <v>283.5</v>
      </c>
      <c r="G75" s="1">
        <v>8.8226738000000005</v>
      </c>
      <c r="M75" s="1">
        <v>1.2017645792984699</v>
      </c>
      <c r="N75" s="1">
        <v>305.89999999999998</v>
      </c>
      <c r="O75" s="1">
        <v>13.09191036</v>
      </c>
      <c r="Q75" s="1">
        <v>0.95017931460739902</v>
      </c>
      <c r="R75" s="1">
        <v>312.8</v>
      </c>
      <c r="S75" s="1">
        <v>17.34141159</v>
      </c>
    </row>
    <row r="76" spans="1:23" x14ac:dyDescent="0.3">
      <c r="A76" s="1">
        <v>1.60640771512081</v>
      </c>
      <c r="B76" s="1">
        <v>273.39999999999998</v>
      </c>
      <c r="C76" s="1">
        <v>10.581760409999999</v>
      </c>
      <c r="E76" s="1">
        <v>1.5475065588352199</v>
      </c>
      <c r="F76" s="1">
        <v>283.5</v>
      </c>
      <c r="G76" s="1">
        <v>8.5858602499999996</v>
      </c>
      <c r="M76" s="1">
        <v>1.1830837352515799</v>
      </c>
      <c r="N76" s="1">
        <v>305.89999999999998</v>
      </c>
      <c r="O76" s="1">
        <v>12.99981594</v>
      </c>
      <c r="Q76" s="1">
        <v>0.93027152409219804</v>
      </c>
      <c r="R76" s="1">
        <v>312.8</v>
      </c>
      <c r="S76" s="1">
        <v>17.226293559999998</v>
      </c>
    </row>
    <row r="77" spans="1:23" x14ac:dyDescent="0.3">
      <c r="A77" s="1">
        <v>1.6016408834186899</v>
      </c>
      <c r="B77" s="1">
        <v>273.39999999999998</v>
      </c>
      <c r="C77" s="1">
        <v>10.20187855</v>
      </c>
      <c r="E77" s="1">
        <v>1.5393382841241201</v>
      </c>
      <c r="F77" s="1">
        <v>283.5</v>
      </c>
      <c r="G77" s="1">
        <v>8.4115381199999995</v>
      </c>
      <c r="M77" s="1">
        <v>1.1619023308174401</v>
      </c>
      <c r="N77" s="1">
        <v>305.89999999999998</v>
      </c>
      <c r="O77" s="1">
        <v>12.914299959999999</v>
      </c>
      <c r="Q77" s="1">
        <v>0.908847948116149</v>
      </c>
      <c r="R77" s="1">
        <v>312.8</v>
      </c>
      <c r="S77" s="1">
        <v>17.114465710000001</v>
      </c>
    </row>
    <row r="78" spans="1:23" x14ac:dyDescent="0.3">
      <c r="A78" s="1">
        <v>1.59837831783409</v>
      </c>
      <c r="B78" s="1">
        <v>273.39999999999998</v>
      </c>
      <c r="C78" s="1">
        <v>9.8605279899999996</v>
      </c>
      <c r="E78" s="1">
        <v>1.5283640130637799</v>
      </c>
      <c r="F78" s="1">
        <v>283.5</v>
      </c>
      <c r="G78" s="1">
        <v>8.2898416499999996</v>
      </c>
      <c r="M78" s="1">
        <v>1.14235499462357</v>
      </c>
      <c r="N78" s="1">
        <v>305.89999999999998</v>
      </c>
      <c r="O78" s="1">
        <v>12.815626140000001</v>
      </c>
      <c r="Q78" s="1">
        <v>0.88697140250353002</v>
      </c>
      <c r="R78" s="1">
        <v>312.8</v>
      </c>
      <c r="S78" s="1">
        <v>16.992769240000001</v>
      </c>
    </row>
    <row r="79" spans="1:23" x14ac:dyDescent="0.3">
      <c r="A79" s="1">
        <v>1.5929359600517099</v>
      </c>
      <c r="B79" s="1">
        <v>273.39999999999998</v>
      </c>
      <c r="C79" s="1">
        <v>9.5301942799999999</v>
      </c>
      <c r="E79" s="1">
        <v>1.51469423844665</v>
      </c>
      <c r="F79" s="1">
        <v>283.5</v>
      </c>
      <c r="G79" s="1">
        <v>8.1056528100000005</v>
      </c>
      <c r="M79" s="1">
        <v>1.1125214932191101</v>
      </c>
      <c r="N79" s="1">
        <v>305.89999999999998</v>
      </c>
      <c r="O79" s="1">
        <v>12.70708752</v>
      </c>
      <c r="Q79" s="1">
        <v>0.86814657329975597</v>
      </c>
      <c r="R79" s="1">
        <v>312.8</v>
      </c>
      <c r="S79" s="1">
        <v>16.884227750000001</v>
      </c>
    </row>
    <row r="80" spans="1:23" x14ac:dyDescent="0.3">
      <c r="A80" s="1">
        <v>1.58877896202578</v>
      </c>
      <c r="B80" s="1">
        <v>273.39999999999998</v>
      </c>
      <c r="C80" s="1">
        <v>9.2053651799999994</v>
      </c>
      <c r="E80" s="1">
        <v>1.50142878286684</v>
      </c>
      <c r="F80" s="1">
        <v>283.5</v>
      </c>
      <c r="G80" s="1">
        <v>7.9346199000000004</v>
      </c>
      <c r="M80" s="1">
        <v>1.0912275743641799</v>
      </c>
      <c r="N80" s="1">
        <v>305.89999999999998</v>
      </c>
      <c r="O80" s="1">
        <v>12.618281359999999</v>
      </c>
      <c r="Q80" s="1">
        <v>0.84886957381037498</v>
      </c>
      <c r="R80" s="1">
        <v>312.8</v>
      </c>
      <c r="S80" s="1">
        <v>16.7723999</v>
      </c>
    </row>
    <row r="81" spans="1:19" x14ac:dyDescent="0.3">
      <c r="A81" s="1">
        <v>1.5835459673490599</v>
      </c>
      <c r="B81" s="1">
        <v>273.39999999999998</v>
      </c>
      <c r="C81" s="1">
        <v>8.8695192299999999</v>
      </c>
      <c r="E81" s="1">
        <v>1.49192995384099</v>
      </c>
      <c r="F81" s="1">
        <v>283.5</v>
      </c>
      <c r="G81" s="1">
        <v>7.82608032</v>
      </c>
      <c r="M81" s="1">
        <v>1.0655804294064199</v>
      </c>
      <c r="N81" s="1">
        <v>305.89999999999998</v>
      </c>
      <c r="O81" s="1">
        <v>12.519609450000001</v>
      </c>
      <c r="Q81" s="1">
        <v>0.82990712444856296</v>
      </c>
      <c r="R81" s="1">
        <v>312.8</v>
      </c>
      <c r="S81" s="1">
        <v>16.660570140000001</v>
      </c>
    </row>
    <row r="82" spans="1:19" x14ac:dyDescent="0.3">
      <c r="A82" s="1">
        <v>1.5769849902184401</v>
      </c>
      <c r="B82" s="1">
        <v>273.39999999999998</v>
      </c>
      <c r="C82" s="1">
        <v>8.5226640699999994</v>
      </c>
      <c r="E82" s="1">
        <v>1.4785405662561499</v>
      </c>
      <c r="F82" s="1">
        <v>283.5</v>
      </c>
      <c r="G82" s="1">
        <v>7.7043838500000001</v>
      </c>
      <c r="M82" s="1">
        <v>1.0462138541367401</v>
      </c>
      <c r="N82" s="1">
        <v>305.89999999999998</v>
      </c>
      <c r="O82" s="1">
        <v>12.453827860000001</v>
      </c>
      <c r="Q82" s="1">
        <v>0.80759358037303697</v>
      </c>
      <c r="R82" s="1">
        <v>312.8</v>
      </c>
      <c r="S82" s="1">
        <v>16.53229713</v>
      </c>
    </row>
    <row r="83" spans="1:19" x14ac:dyDescent="0.3">
      <c r="A83" s="1">
        <v>1.57027981730595</v>
      </c>
      <c r="B83" s="1">
        <v>273.39999999999998</v>
      </c>
      <c r="C83" s="1">
        <v>8.1923303599999997</v>
      </c>
      <c r="E83" s="1">
        <v>1.46635702309057</v>
      </c>
      <c r="F83" s="1">
        <v>283.5</v>
      </c>
      <c r="G83" s="1">
        <v>7.5728201899999998</v>
      </c>
      <c r="M83" s="1">
        <v>1.02342109725351</v>
      </c>
      <c r="N83" s="1">
        <v>305.89999999999998</v>
      </c>
      <c r="O83" s="1">
        <v>12.35844326</v>
      </c>
      <c r="Q83" s="1">
        <v>0.78864450704708999</v>
      </c>
      <c r="R83" s="1">
        <v>312.8</v>
      </c>
      <c r="S83" s="1">
        <v>16.42704582</v>
      </c>
    </row>
    <row r="84" spans="1:19" x14ac:dyDescent="0.3">
      <c r="A84" s="1">
        <v>1.5626035748270499</v>
      </c>
      <c r="B84" s="1">
        <v>273.39999999999998</v>
      </c>
      <c r="C84" s="1">
        <v>7.8675093699999996</v>
      </c>
      <c r="E84" s="1">
        <v>1.45417616127932</v>
      </c>
      <c r="F84" s="1">
        <v>283.5</v>
      </c>
      <c r="G84" s="1">
        <v>7.4412570000000002</v>
      </c>
      <c r="M84" s="1">
        <v>1.00653280548781</v>
      </c>
      <c r="N84" s="1">
        <v>305.89999999999998</v>
      </c>
      <c r="O84" s="1">
        <v>12.30252934</v>
      </c>
      <c r="Q84" s="1">
        <v>0.75930426725179501</v>
      </c>
      <c r="R84" s="1">
        <v>312.8</v>
      </c>
      <c r="S84" s="1">
        <v>16.25272369</v>
      </c>
    </row>
    <row r="85" spans="1:19" x14ac:dyDescent="0.3">
      <c r="A85" s="1">
        <v>1.5548502964356099</v>
      </c>
      <c r="B85" s="1">
        <v>273.39999999999998</v>
      </c>
      <c r="C85" s="1">
        <v>7.5316634200000001</v>
      </c>
      <c r="E85" s="1">
        <v>1.4415501945809199</v>
      </c>
      <c r="F85" s="1">
        <v>283.5</v>
      </c>
      <c r="G85" s="1">
        <v>7.3557405500000002</v>
      </c>
      <c r="M85" s="1">
        <v>0.98012494623668001</v>
      </c>
      <c r="N85" s="1">
        <v>305.89999999999998</v>
      </c>
      <c r="O85" s="1">
        <v>12.20385647</v>
      </c>
      <c r="Q85" s="1">
        <v>0.73853813227375398</v>
      </c>
      <c r="R85" s="1">
        <v>312.8</v>
      </c>
      <c r="S85" s="1">
        <v>16.137605669999999</v>
      </c>
    </row>
    <row r="86" spans="1:19" x14ac:dyDescent="0.3">
      <c r="A86" s="1">
        <v>1.54584407375014</v>
      </c>
      <c r="B86" s="1">
        <v>273.39999999999998</v>
      </c>
      <c r="C86" s="1">
        <v>7.23435688</v>
      </c>
      <c r="E86" s="1">
        <v>1.42627134372014</v>
      </c>
      <c r="F86" s="1">
        <v>283.5</v>
      </c>
      <c r="G86" s="1">
        <v>7.2307558099999998</v>
      </c>
      <c r="M86" s="1">
        <v>0.95482826274260202</v>
      </c>
      <c r="N86" s="1">
        <v>305.89999999999998</v>
      </c>
      <c r="O86" s="1">
        <v>12.108473780000001</v>
      </c>
      <c r="Q86" s="1">
        <v>0.71808948401119199</v>
      </c>
      <c r="R86" s="1">
        <v>312.8</v>
      </c>
      <c r="S86" s="1">
        <v>16.019197460000001</v>
      </c>
    </row>
    <row r="87" spans="1:19" x14ac:dyDescent="0.3">
      <c r="A87" s="1">
        <v>1.53669243785891</v>
      </c>
      <c r="B87" s="1">
        <v>273.39999999999998</v>
      </c>
      <c r="C87" s="1">
        <v>6.9535717999999997</v>
      </c>
      <c r="E87" s="1">
        <v>1.4051229701721599</v>
      </c>
      <c r="F87" s="1">
        <v>283.5</v>
      </c>
      <c r="G87" s="1">
        <v>7.0728788399999996</v>
      </c>
      <c r="M87" s="1">
        <v>0.93770681321343496</v>
      </c>
      <c r="N87" s="1">
        <v>305.89999999999998</v>
      </c>
      <c r="O87" s="1">
        <v>12.04598045</v>
      </c>
      <c r="Q87" s="1">
        <v>0.69993729800413595</v>
      </c>
      <c r="R87" s="1">
        <v>312.8</v>
      </c>
      <c r="S87" s="1">
        <v>15.91723728</v>
      </c>
    </row>
    <row r="88" spans="1:19" x14ac:dyDescent="0.3">
      <c r="A88" s="1">
        <v>1.52416627983046</v>
      </c>
      <c r="B88" s="1">
        <v>273.39999999999998</v>
      </c>
      <c r="C88" s="1">
        <v>6.6948127700000004</v>
      </c>
      <c r="E88" s="1">
        <v>1.3840014072367499</v>
      </c>
      <c r="F88" s="1">
        <v>283.5</v>
      </c>
      <c r="G88" s="1">
        <v>6.9709172199999996</v>
      </c>
      <c r="M88" s="1">
        <v>0.91462382339481096</v>
      </c>
      <c r="N88" s="1">
        <v>305.89999999999998</v>
      </c>
      <c r="O88" s="1">
        <v>11.967042920000001</v>
      </c>
      <c r="Q88" s="1">
        <v>0.67765538788647195</v>
      </c>
      <c r="R88" s="1">
        <v>312.8</v>
      </c>
      <c r="S88" s="1">
        <v>15.805408480000001</v>
      </c>
    </row>
    <row r="89" spans="1:19" x14ac:dyDescent="0.3">
      <c r="A89" s="1">
        <v>1.51120368369331</v>
      </c>
      <c r="B89" s="1">
        <v>273.39999999999998</v>
      </c>
      <c r="C89" s="1">
        <v>6.4470624900000004</v>
      </c>
      <c r="E89" s="1">
        <v>1.35305099990079</v>
      </c>
      <c r="F89" s="1">
        <v>283.5</v>
      </c>
      <c r="G89" s="1">
        <v>6.8294863699999997</v>
      </c>
      <c r="M89" s="1">
        <v>0.890318004447338</v>
      </c>
      <c r="N89" s="1">
        <v>305.89999999999998</v>
      </c>
      <c r="O89" s="1">
        <v>11.871659279999999</v>
      </c>
      <c r="Q89" s="1">
        <v>0.65277087975011405</v>
      </c>
      <c r="R89" s="1">
        <v>312.8</v>
      </c>
      <c r="S89" s="1">
        <v>15.663977620000001</v>
      </c>
    </row>
    <row r="90" spans="1:19" x14ac:dyDescent="0.3">
      <c r="A90" s="1">
        <v>1.49823316750226</v>
      </c>
      <c r="B90" s="1">
        <v>273.39999999999998</v>
      </c>
      <c r="C90" s="1">
        <v>6.1993041</v>
      </c>
      <c r="E90" s="1">
        <v>1.32961112097874</v>
      </c>
      <c r="F90" s="1">
        <v>283.5</v>
      </c>
      <c r="G90" s="1">
        <v>6.7176575700000001</v>
      </c>
      <c r="M90" s="1">
        <v>0.871365162140327</v>
      </c>
      <c r="N90" s="1">
        <v>305.89999999999998</v>
      </c>
      <c r="O90" s="1">
        <v>11.7861414</v>
      </c>
      <c r="Q90" s="1">
        <v>0.632647775149212</v>
      </c>
      <c r="R90" s="1">
        <v>312.8</v>
      </c>
      <c r="S90" s="1">
        <v>15.55872726</v>
      </c>
    </row>
    <row r="91" spans="1:19" x14ac:dyDescent="0.3">
      <c r="A91" s="1">
        <v>1.4842795581289301</v>
      </c>
      <c r="B91" s="1">
        <v>273.39999999999998</v>
      </c>
      <c r="C91" s="1">
        <v>5.95705843</v>
      </c>
      <c r="E91" s="1">
        <v>1.29843513061855</v>
      </c>
      <c r="F91" s="1">
        <v>283.5</v>
      </c>
      <c r="G91" s="1">
        <v>6.6091175099999999</v>
      </c>
      <c r="M91" s="1">
        <v>0.85174533377604</v>
      </c>
      <c r="N91" s="1">
        <v>305.89999999999998</v>
      </c>
      <c r="O91" s="1">
        <v>11.72036076</v>
      </c>
      <c r="Q91" s="1">
        <v>0.61375619759064204</v>
      </c>
      <c r="R91" s="1">
        <v>312.8</v>
      </c>
      <c r="S91" s="1">
        <v>15.45347595</v>
      </c>
    </row>
    <row r="92" spans="1:19" x14ac:dyDescent="0.3">
      <c r="A92" s="1">
        <v>1.4674420313196299</v>
      </c>
      <c r="B92" s="1">
        <v>273.39999999999998</v>
      </c>
      <c r="C92" s="1">
        <v>5.73683882</v>
      </c>
      <c r="E92" s="1">
        <v>1.25985966886794</v>
      </c>
      <c r="F92" s="1">
        <v>283.5</v>
      </c>
      <c r="G92" s="1">
        <v>6.5005779300000004</v>
      </c>
      <c r="M92" s="1">
        <v>0.83078978400654202</v>
      </c>
      <c r="N92" s="1">
        <v>305.89999999999998</v>
      </c>
      <c r="O92" s="1">
        <v>11.634843829999999</v>
      </c>
      <c r="Q92" s="1">
        <v>0.58934316105247697</v>
      </c>
      <c r="R92" s="1">
        <v>312.8</v>
      </c>
      <c r="S92" s="1">
        <v>15.315333369999999</v>
      </c>
    </row>
    <row r="93" spans="1:19" x14ac:dyDescent="0.3">
      <c r="A93" s="1">
        <v>1.4496305283948001</v>
      </c>
      <c r="B93" s="1">
        <v>273.39999999999998</v>
      </c>
      <c r="C93" s="1">
        <v>5.5606551199999998</v>
      </c>
      <c r="E93" s="1">
        <v>1.24533721987038</v>
      </c>
      <c r="F93" s="1">
        <v>283.5</v>
      </c>
      <c r="G93" s="1">
        <v>6.44795227</v>
      </c>
      <c r="M93" s="1">
        <v>0.810681774000517</v>
      </c>
      <c r="N93" s="1">
        <v>305.89999999999998</v>
      </c>
      <c r="O93" s="1">
        <v>11.56248379</v>
      </c>
      <c r="Q93" s="1">
        <v>0.56401371871360095</v>
      </c>
      <c r="R93" s="1">
        <v>312.8</v>
      </c>
      <c r="S93" s="1">
        <v>15.187059400000001</v>
      </c>
    </row>
    <row r="94" spans="1:19" x14ac:dyDescent="0.3">
      <c r="A94" s="1">
        <v>1.4308339281155</v>
      </c>
      <c r="B94" s="1">
        <v>273.39999999999998</v>
      </c>
      <c r="C94" s="1">
        <v>5.3899841300000002</v>
      </c>
      <c r="E94" s="1">
        <v>1.2118078408039401</v>
      </c>
      <c r="F94" s="1">
        <v>283.5</v>
      </c>
      <c r="G94" s="1">
        <v>6.3591470699999997</v>
      </c>
      <c r="M94" s="1">
        <v>0.79118775421060905</v>
      </c>
      <c r="N94" s="1">
        <v>305.89999999999998</v>
      </c>
      <c r="O94" s="1">
        <v>11.49341297</v>
      </c>
      <c r="Q94" s="1">
        <v>0.543914738534366</v>
      </c>
      <c r="R94" s="1">
        <v>312.8</v>
      </c>
      <c r="S94" s="1">
        <v>15.071940420000001</v>
      </c>
    </row>
    <row r="95" spans="1:19" x14ac:dyDescent="0.3">
      <c r="A95" s="1">
        <v>1.41123101156775</v>
      </c>
      <c r="B95" s="1">
        <v>273.39999999999998</v>
      </c>
      <c r="C95" s="1">
        <v>5.2137999500000003</v>
      </c>
      <c r="E95" s="1">
        <v>1.1866546282923001</v>
      </c>
      <c r="F95" s="1">
        <v>283.5</v>
      </c>
      <c r="G95" s="1">
        <v>6.3065214200000002</v>
      </c>
      <c r="M95" s="1">
        <v>0.76909308401917997</v>
      </c>
      <c r="N95" s="1">
        <v>305.89999999999998</v>
      </c>
      <c r="O95" s="1">
        <v>11.411186219999999</v>
      </c>
      <c r="Q95" s="1">
        <v>0.52520908108477904</v>
      </c>
      <c r="R95" s="1">
        <v>312.8</v>
      </c>
      <c r="S95" s="1">
        <v>14.96998024</v>
      </c>
    </row>
    <row r="96" spans="1:19" x14ac:dyDescent="0.3">
      <c r="A96" s="1">
        <v>1.3888434440175901</v>
      </c>
      <c r="B96" s="1">
        <v>273.39999999999998</v>
      </c>
      <c r="C96" s="1">
        <v>5.07616377</v>
      </c>
      <c r="E96" s="1">
        <v>1.1715775710427401</v>
      </c>
      <c r="F96" s="1">
        <v>283.5</v>
      </c>
      <c r="G96" s="1">
        <v>6.2604746799999997</v>
      </c>
      <c r="M96" s="1">
        <v>0.74884270821260901</v>
      </c>
      <c r="N96" s="1">
        <v>305.89999999999998</v>
      </c>
      <c r="O96" s="1">
        <v>11.342115400000001</v>
      </c>
      <c r="Q96" s="1">
        <v>0.50681613569481199</v>
      </c>
      <c r="R96" s="1">
        <v>312.8</v>
      </c>
      <c r="S96" s="1">
        <v>14.868018149999999</v>
      </c>
    </row>
    <row r="97" spans="1:19" x14ac:dyDescent="0.3">
      <c r="A97" s="1">
        <v>1.3650047938311101</v>
      </c>
      <c r="B97" s="1">
        <v>273.39999999999998</v>
      </c>
      <c r="C97" s="1">
        <v>4.94953632</v>
      </c>
      <c r="E97" s="1">
        <v>1.15521144945118</v>
      </c>
      <c r="F97" s="1">
        <v>283.5</v>
      </c>
      <c r="G97" s="1">
        <v>6.2078490300000002</v>
      </c>
      <c r="M97" s="1">
        <v>0.71976816778024799</v>
      </c>
      <c r="N97" s="1">
        <v>305.89999999999998</v>
      </c>
      <c r="O97" s="1">
        <v>11.23357487</v>
      </c>
      <c r="Q97" s="1">
        <v>0.48858096882887803</v>
      </c>
      <c r="R97" s="1">
        <v>312.8</v>
      </c>
      <c r="S97" s="1">
        <v>14.74960995</v>
      </c>
    </row>
    <row r="98" spans="1:19" x14ac:dyDescent="0.3">
      <c r="A98" s="1">
        <v>1.33880795314648</v>
      </c>
      <c r="B98" s="1">
        <v>273.39999999999998</v>
      </c>
      <c r="C98" s="1">
        <v>4.8504314400000004</v>
      </c>
      <c r="E98" s="1">
        <v>1.12142301294562</v>
      </c>
      <c r="F98" s="1">
        <v>283.5</v>
      </c>
      <c r="G98" s="1">
        <v>6.1650905600000003</v>
      </c>
      <c r="M98" s="1">
        <v>0.69903401367778495</v>
      </c>
      <c r="N98" s="1">
        <v>305.89999999999998</v>
      </c>
      <c r="O98" s="1">
        <v>11.15792656</v>
      </c>
      <c r="Q98" s="1">
        <v>0.46942809031897997</v>
      </c>
      <c r="R98" s="1">
        <v>312.8</v>
      </c>
      <c r="S98" s="1">
        <v>14.62133598</v>
      </c>
    </row>
    <row r="99" spans="1:19" x14ac:dyDescent="0.3">
      <c r="A99" s="1">
        <v>1.3129264014753399</v>
      </c>
      <c r="B99" s="1">
        <v>273.39999999999998</v>
      </c>
      <c r="C99" s="1">
        <v>4.7623438800000004</v>
      </c>
      <c r="E99" s="1">
        <v>1.0834705903865101</v>
      </c>
      <c r="F99" s="1">
        <v>283.5</v>
      </c>
      <c r="G99" s="1">
        <v>6.0960202199999998</v>
      </c>
      <c r="M99" s="1">
        <v>0.68016219145422396</v>
      </c>
      <c r="N99" s="1">
        <v>305.89999999999998</v>
      </c>
      <c r="O99" s="1">
        <v>11.09214401</v>
      </c>
      <c r="Q99" s="1">
        <v>0.45336604629409499</v>
      </c>
      <c r="R99" s="1">
        <v>312.8</v>
      </c>
      <c r="S99" s="1">
        <v>14.51279736</v>
      </c>
    </row>
    <row r="100" spans="1:19" x14ac:dyDescent="0.3">
      <c r="A100" s="1">
        <v>1.28508280440839</v>
      </c>
      <c r="B100" s="1">
        <v>273.39999999999998</v>
      </c>
      <c r="C100" s="1">
        <v>4.6852650599999999</v>
      </c>
      <c r="E100" s="1">
        <v>1.04961185869616</v>
      </c>
      <c r="F100" s="1">
        <v>283.5</v>
      </c>
      <c r="G100" s="1">
        <v>6.0137929899999998</v>
      </c>
      <c r="M100" s="1">
        <v>0.66241985438414197</v>
      </c>
      <c r="N100" s="1">
        <v>305.89999999999998</v>
      </c>
      <c r="O100" s="1">
        <v>11.023073200000001</v>
      </c>
      <c r="Q100" s="1">
        <v>0.43731447438790999</v>
      </c>
      <c r="R100" s="1">
        <v>312.8</v>
      </c>
      <c r="S100" s="1">
        <v>14.387811660000001</v>
      </c>
    </row>
    <row r="101" spans="1:19" x14ac:dyDescent="0.3">
      <c r="A101" s="1">
        <v>1.25675106955884</v>
      </c>
      <c r="B101" s="1">
        <v>273.39999999999998</v>
      </c>
      <c r="C101" s="1">
        <v>4.6136903800000004</v>
      </c>
      <c r="E101" s="1">
        <v>1.02374240548909</v>
      </c>
      <c r="F101" s="1">
        <v>283.5</v>
      </c>
      <c r="G101" s="1">
        <v>5.9710345299999998</v>
      </c>
      <c r="M101" s="1">
        <v>0.641409806961313</v>
      </c>
      <c r="N101" s="1">
        <v>305.89999999999998</v>
      </c>
      <c r="O101" s="1">
        <v>10.954003330000001</v>
      </c>
      <c r="Q101" s="1">
        <v>0.42019568101767102</v>
      </c>
      <c r="R101" s="1">
        <v>312.8</v>
      </c>
      <c r="S101" s="1">
        <v>14.25953674</v>
      </c>
    </row>
    <row r="102" spans="1:19" x14ac:dyDescent="0.3">
      <c r="A102" s="1">
        <v>1.22663007950197</v>
      </c>
      <c r="B102" s="1">
        <v>273.39999999999998</v>
      </c>
      <c r="C102" s="1">
        <v>4.5421161699999999</v>
      </c>
      <c r="E102" s="1">
        <v>0.98612875710265402</v>
      </c>
      <c r="F102" s="1">
        <v>283.5</v>
      </c>
      <c r="G102" s="1">
        <v>5.9085416799999999</v>
      </c>
      <c r="M102" s="1">
        <v>0.62129745525706004</v>
      </c>
      <c r="N102" s="1">
        <v>305.89999999999998</v>
      </c>
      <c r="O102" s="1">
        <v>10.87835407</v>
      </c>
      <c r="Q102" s="1">
        <v>0.39767833192551</v>
      </c>
      <c r="R102" s="1">
        <v>312.8</v>
      </c>
      <c r="S102" s="1">
        <v>14.045745849999999</v>
      </c>
    </row>
    <row r="103" spans="1:19" x14ac:dyDescent="0.3">
      <c r="A103" s="1">
        <v>1.1972888026098001</v>
      </c>
      <c r="B103" s="1">
        <v>273.39999999999998</v>
      </c>
      <c r="C103" s="1">
        <v>4.4760541900000002</v>
      </c>
      <c r="E103" s="1">
        <v>0.95777344856816604</v>
      </c>
      <c r="F103" s="1">
        <v>283.5</v>
      </c>
      <c r="G103" s="1">
        <v>5.8460493099999997</v>
      </c>
      <c r="M103" s="1">
        <v>0.60591383419540101</v>
      </c>
      <c r="N103" s="1">
        <v>305.89999999999998</v>
      </c>
      <c r="O103" s="1">
        <v>10.822439190000001</v>
      </c>
      <c r="Q103" s="1">
        <v>0.375482654844357</v>
      </c>
      <c r="R103" s="1">
        <v>312.8</v>
      </c>
      <c r="S103" s="1">
        <v>13.78590775</v>
      </c>
    </row>
    <row r="104" spans="1:19" x14ac:dyDescent="0.3">
      <c r="A104" s="1">
        <v>1.16575249013029</v>
      </c>
      <c r="B104" s="1">
        <v>273.39999999999998</v>
      </c>
      <c r="C104" s="1">
        <v>4.4265055699999998</v>
      </c>
      <c r="E104" s="1">
        <v>0.92917043761678597</v>
      </c>
      <c r="F104" s="1">
        <v>283.5</v>
      </c>
      <c r="G104" s="1">
        <v>5.79342413</v>
      </c>
      <c r="M104" s="1">
        <v>0.58715429284141196</v>
      </c>
      <c r="N104" s="1">
        <v>305.89999999999998</v>
      </c>
      <c r="O104" s="1">
        <v>10.76323509</v>
      </c>
      <c r="Q104" s="1">
        <v>0.35764302488598299</v>
      </c>
      <c r="R104" s="1">
        <v>312.8</v>
      </c>
      <c r="S104" s="1">
        <v>13.55238247</v>
      </c>
    </row>
    <row r="105" spans="1:19" x14ac:dyDescent="0.3">
      <c r="A105" s="1">
        <v>1.1352165684745901</v>
      </c>
      <c r="B105" s="1">
        <v>273.39999999999998</v>
      </c>
      <c r="C105" s="1">
        <v>4.3769574200000001</v>
      </c>
      <c r="E105" s="1">
        <v>0.91130590770971298</v>
      </c>
      <c r="F105" s="1">
        <v>283.5</v>
      </c>
      <c r="G105" s="1">
        <v>5.7638220799999997</v>
      </c>
      <c r="M105" s="1">
        <v>0.55989647383821395</v>
      </c>
      <c r="N105" s="1">
        <v>305.89999999999998</v>
      </c>
      <c r="O105" s="1">
        <v>10.661274909999999</v>
      </c>
      <c r="Q105" s="1">
        <v>0.34647900238161899</v>
      </c>
      <c r="R105" s="1">
        <v>312.8</v>
      </c>
      <c r="S105" s="1">
        <v>13.374772070000001</v>
      </c>
    </row>
    <row r="106" spans="1:19" x14ac:dyDescent="0.3">
      <c r="A106" s="1">
        <v>1.1042231862002501</v>
      </c>
      <c r="B106" s="1">
        <v>273.39999999999998</v>
      </c>
      <c r="C106" s="1">
        <v>4.3384180099999998</v>
      </c>
      <c r="E106" s="1">
        <v>0.88095598163525901</v>
      </c>
      <c r="F106" s="1">
        <v>283.5</v>
      </c>
      <c r="G106" s="1">
        <v>5.7046184499999999</v>
      </c>
      <c r="M106" s="1">
        <v>0.53386887224913804</v>
      </c>
      <c r="N106" s="1">
        <v>305.89999999999998</v>
      </c>
      <c r="O106" s="1">
        <v>10.575757980000001</v>
      </c>
      <c r="Q106" s="1">
        <v>0.33657374094034098</v>
      </c>
      <c r="R106" s="1">
        <v>312.8</v>
      </c>
      <c r="S106" s="1">
        <v>13.18729401</v>
      </c>
    </row>
    <row r="107" spans="1:19" x14ac:dyDescent="0.3">
      <c r="A107" s="1">
        <v>1.07440314931467</v>
      </c>
      <c r="B107" s="1">
        <v>273.39999999999998</v>
      </c>
      <c r="C107" s="1">
        <v>4.2888612699999999</v>
      </c>
      <c r="E107" s="1">
        <v>0.84651892566494402</v>
      </c>
      <c r="F107" s="1">
        <v>283.5</v>
      </c>
      <c r="G107" s="1">
        <v>5.6388363799999999</v>
      </c>
      <c r="M107" s="1">
        <v>0.51539099051052295</v>
      </c>
      <c r="N107" s="1">
        <v>305.89999999999998</v>
      </c>
      <c r="O107" s="1">
        <v>10.49682045</v>
      </c>
      <c r="Q107" s="1">
        <v>0.32824200620169702</v>
      </c>
      <c r="R107" s="1">
        <v>312.8</v>
      </c>
      <c r="S107" s="1">
        <v>13.00310421</v>
      </c>
    </row>
    <row r="108" spans="1:19" x14ac:dyDescent="0.3">
      <c r="A108" s="1">
        <v>1.0435829609566201</v>
      </c>
      <c r="B108" s="1">
        <v>273.39999999999998</v>
      </c>
      <c r="C108" s="1">
        <v>4.2448172599999996</v>
      </c>
      <c r="E108" s="1">
        <v>0.82107945345047395</v>
      </c>
      <c r="F108" s="1">
        <v>283.5</v>
      </c>
      <c r="G108" s="1">
        <v>5.5993681000000004</v>
      </c>
      <c r="M108" s="1">
        <v>0.49675239530855497</v>
      </c>
      <c r="N108" s="1">
        <v>305.89999999999998</v>
      </c>
      <c r="O108" s="1">
        <v>10.43432713</v>
      </c>
      <c r="Q108" s="1">
        <v>0.31807049898276302</v>
      </c>
      <c r="R108" s="1">
        <v>312.8</v>
      </c>
      <c r="S108" s="1">
        <v>12.77286911</v>
      </c>
    </row>
    <row r="109" spans="1:19" x14ac:dyDescent="0.3">
      <c r="A109" s="1">
        <v>1.01397736755204</v>
      </c>
      <c r="B109" s="1">
        <v>273.39999999999998</v>
      </c>
      <c r="C109" s="1">
        <v>4.1952691099999999</v>
      </c>
      <c r="E109" s="1">
        <v>0.78300863620963201</v>
      </c>
      <c r="F109" s="1">
        <v>283.5</v>
      </c>
      <c r="G109" s="1">
        <v>5.5302968000000003</v>
      </c>
      <c r="M109" s="1">
        <v>0.47863278776157397</v>
      </c>
      <c r="N109" s="1">
        <v>305.89999999999998</v>
      </c>
      <c r="O109" s="1">
        <v>10.365256309999999</v>
      </c>
      <c r="Q109" s="1">
        <v>0.31056829249126799</v>
      </c>
      <c r="R109" s="1">
        <v>312.8</v>
      </c>
      <c r="S109" s="1">
        <v>12.59525871</v>
      </c>
    </row>
    <row r="110" spans="1:19" x14ac:dyDescent="0.3">
      <c r="A110" s="1">
        <v>0.982171861960347</v>
      </c>
      <c r="B110" s="1">
        <v>273.39999999999998</v>
      </c>
      <c r="C110" s="1">
        <v>4.1622338299999999</v>
      </c>
      <c r="E110" s="1">
        <v>0.76526999313009703</v>
      </c>
      <c r="F110" s="1">
        <v>283.5</v>
      </c>
      <c r="G110" s="1">
        <v>5.4776711499999999</v>
      </c>
      <c r="M110" s="1">
        <v>0.45210949688843199</v>
      </c>
      <c r="N110" s="1">
        <v>305.89999999999998</v>
      </c>
      <c r="O110" s="1">
        <v>10.26658344</v>
      </c>
      <c r="Q110" s="1">
        <v>0.30510288038802003</v>
      </c>
      <c r="R110" s="1">
        <v>312.8</v>
      </c>
      <c r="S110" s="1">
        <v>12.4669838</v>
      </c>
    </row>
    <row r="111" spans="1:19" x14ac:dyDescent="0.3">
      <c r="A111" s="1">
        <v>0.95296172648118305</v>
      </c>
      <c r="B111" s="1">
        <v>273.39999999999998</v>
      </c>
      <c r="C111" s="1">
        <v>4.1016764600000002</v>
      </c>
      <c r="E111" s="1">
        <v>0.72733711794862999</v>
      </c>
      <c r="F111" s="1">
        <v>283.5</v>
      </c>
      <c r="G111" s="1">
        <v>5.4382019000000001</v>
      </c>
      <c r="M111" s="1">
        <v>0.43475670854006598</v>
      </c>
      <c r="N111" s="1">
        <v>305.89999999999998</v>
      </c>
      <c r="O111" s="1">
        <v>10.19093513</v>
      </c>
      <c r="Q111" s="1">
        <v>0.29655462470327898</v>
      </c>
      <c r="R111" s="1">
        <v>312.8</v>
      </c>
      <c r="S111" s="1">
        <v>12.22030258</v>
      </c>
    </row>
    <row r="112" spans="1:19" x14ac:dyDescent="0.3">
      <c r="A112" s="1">
        <v>0.92085566958975795</v>
      </c>
      <c r="B112" s="1">
        <v>273.39999999999998</v>
      </c>
      <c r="C112" s="1">
        <v>4.0686416599999999</v>
      </c>
      <c r="E112" s="1">
        <v>0.69464812303431001</v>
      </c>
      <c r="F112" s="1">
        <v>283.5</v>
      </c>
      <c r="G112" s="1">
        <v>5.37899876</v>
      </c>
      <c r="M112" s="1">
        <v>0.41415193836184599</v>
      </c>
      <c r="N112" s="1">
        <v>305.89999999999998</v>
      </c>
      <c r="O112" s="1">
        <v>10.10541821</v>
      </c>
      <c r="Q112" s="1">
        <v>0.28803971692531599</v>
      </c>
      <c r="R112" s="1">
        <v>312.8</v>
      </c>
      <c r="S112" s="1">
        <v>11.97033119</v>
      </c>
    </row>
    <row r="113" spans="1:19" x14ac:dyDescent="0.3">
      <c r="A113" s="1">
        <v>0.88919386060538197</v>
      </c>
      <c r="B113" s="1">
        <v>273.39999999999998</v>
      </c>
      <c r="C113" s="1">
        <v>4.0301022499999997</v>
      </c>
      <c r="E113" s="1">
        <v>0.67476187373530505</v>
      </c>
      <c r="F113" s="1">
        <v>283.5</v>
      </c>
      <c r="G113" s="1">
        <v>5.3230843500000002</v>
      </c>
      <c r="M113" s="1">
        <v>0.39592361536787501</v>
      </c>
      <c r="N113" s="1">
        <v>305.89999999999998</v>
      </c>
      <c r="O113" s="1">
        <v>10.02976894</v>
      </c>
      <c r="Q113" s="1">
        <v>0.27924090999659301</v>
      </c>
      <c r="R113" s="1">
        <v>312.8</v>
      </c>
      <c r="S113" s="1">
        <v>11.680891040000001</v>
      </c>
    </row>
    <row r="114" spans="1:19" x14ac:dyDescent="0.3">
      <c r="A114" s="1">
        <v>0.85871015159129704</v>
      </c>
      <c r="B114" s="1">
        <v>273.39999999999998</v>
      </c>
      <c r="C114" s="1">
        <v>3.98055387</v>
      </c>
      <c r="E114" s="1">
        <v>0.65096886293752998</v>
      </c>
      <c r="F114" s="1">
        <v>283.5</v>
      </c>
      <c r="G114" s="1">
        <v>5.2934827799999997</v>
      </c>
      <c r="M114" s="1">
        <v>0.37671169940315102</v>
      </c>
      <c r="N114" s="1">
        <v>305.89999999999998</v>
      </c>
      <c r="O114" s="1">
        <v>9.9409637499999999</v>
      </c>
      <c r="Q114" s="1">
        <v>0.272814767884623</v>
      </c>
      <c r="R114" s="1">
        <v>312.8</v>
      </c>
      <c r="S114" s="1">
        <v>11.44736576</v>
      </c>
    </row>
    <row r="115" spans="1:19" x14ac:dyDescent="0.3">
      <c r="A115" s="1">
        <v>0.82605164014482202</v>
      </c>
      <c r="B115" s="1">
        <v>273.39999999999998</v>
      </c>
      <c r="C115" s="1">
        <v>3.9530153299999999</v>
      </c>
      <c r="E115" s="1">
        <v>0.609292098791683</v>
      </c>
      <c r="F115" s="1">
        <v>283.5</v>
      </c>
      <c r="G115" s="1">
        <v>5.2342791599999998</v>
      </c>
      <c r="M115" s="1">
        <v>0.35900730920027202</v>
      </c>
      <c r="N115" s="1">
        <v>305.89999999999998</v>
      </c>
      <c r="O115" s="1">
        <v>9.8554477699999996</v>
      </c>
      <c r="Q115" s="1">
        <v>0.26611312473516802</v>
      </c>
      <c r="R115" s="1">
        <v>312.8</v>
      </c>
      <c r="S115" s="1">
        <v>11.19739628</v>
      </c>
    </row>
    <row r="116" spans="1:19" x14ac:dyDescent="0.3">
      <c r="A116" s="1">
        <v>0.79527025059245904</v>
      </c>
      <c r="B116" s="1">
        <v>273.39999999999998</v>
      </c>
      <c r="C116" s="1">
        <v>3.9034669399999999</v>
      </c>
      <c r="E116" s="1">
        <v>0.57502369292726296</v>
      </c>
      <c r="F116" s="1">
        <v>283.5</v>
      </c>
      <c r="G116" s="1">
        <v>5.1619186399999997</v>
      </c>
      <c r="M116" s="1">
        <v>0.34107392170380502</v>
      </c>
      <c r="N116" s="1">
        <v>305.89999999999998</v>
      </c>
      <c r="O116" s="1">
        <v>9.7600641299999999</v>
      </c>
      <c r="Q116" s="1">
        <v>0.261313913935525</v>
      </c>
      <c r="R116" s="1">
        <v>312.8</v>
      </c>
      <c r="S116" s="1">
        <v>10.9934721</v>
      </c>
    </row>
    <row r="117" spans="1:19" x14ac:dyDescent="0.3">
      <c r="A117" s="1">
        <v>0.763516149459738</v>
      </c>
      <c r="B117" s="1">
        <v>273.39999999999998</v>
      </c>
      <c r="C117" s="1">
        <v>3.8649275300000001</v>
      </c>
      <c r="E117" s="1">
        <v>0.53903380987466898</v>
      </c>
      <c r="F117" s="1">
        <v>283.5</v>
      </c>
      <c r="G117" s="1">
        <v>5.1158714300000003</v>
      </c>
      <c r="M117" s="1">
        <v>0.32391847954976999</v>
      </c>
      <c r="N117" s="1">
        <v>305.89999999999998</v>
      </c>
      <c r="O117" s="1">
        <v>9.6613912600000003</v>
      </c>
      <c r="Q117" s="1">
        <v>0.255450148386974</v>
      </c>
      <c r="R117" s="1">
        <v>312.8</v>
      </c>
      <c r="S117" s="1">
        <v>10.733634</v>
      </c>
    </row>
    <row r="118" spans="1:19" x14ac:dyDescent="0.3">
      <c r="A118" s="1">
        <v>0.73320541301509701</v>
      </c>
      <c r="B118" s="1">
        <v>273.39999999999998</v>
      </c>
      <c r="C118" s="1">
        <v>3.8153791400000001</v>
      </c>
      <c r="E118" s="1">
        <v>0.51151275309736899</v>
      </c>
      <c r="F118" s="1">
        <v>283.5</v>
      </c>
      <c r="G118" s="1">
        <v>5.0731139199999999</v>
      </c>
      <c r="M118" s="1">
        <v>0.29146151558132299</v>
      </c>
      <c r="N118" s="1">
        <v>305.89999999999998</v>
      </c>
      <c r="O118" s="1">
        <v>9.4179983099999998</v>
      </c>
      <c r="Q118" s="1">
        <v>0.25009204850613997</v>
      </c>
      <c r="R118" s="1">
        <v>312.8</v>
      </c>
      <c r="S118" s="1">
        <v>10.509975430000001</v>
      </c>
    </row>
    <row r="119" spans="1:19" x14ac:dyDescent="0.3">
      <c r="A119" s="1">
        <v>0.70287192694740497</v>
      </c>
      <c r="B119" s="1">
        <v>273.39999999999998</v>
      </c>
      <c r="C119" s="1">
        <v>3.7658305200000002</v>
      </c>
      <c r="E119" s="1">
        <v>0.49153915265824999</v>
      </c>
      <c r="F119" s="1">
        <v>283.5</v>
      </c>
      <c r="G119" s="1">
        <v>5.0204877899999998</v>
      </c>
      <c r="M119" s="1">
        <v>0.27271427466714998</v>
      </c>
      <c r="N119" s="1">
        <v>305.89999999999998</v>
      </c>
      <c r="O119" s="1">
        <v>9.2436771400000008</v>
      </c>
      <c r="Q119" s="1">
        <v>0.24554548048563599</v>
      </c>
      <c r="R119" s="1">
        <v>312.8</v>
      </c>
      <c r="S119" s="1">
        <v>10.29289627</v>
      </c>
    </row>
    <row r="120" spans="1:19" x14ac:dyDescent="0.3">
      <c r="A120" s="1">
        <v>0.672818841559778</v>
      </c>
      <c r="B120" s="1">
        <v>273.39999999999998</v>
      </c>
      <c r="C120" s="1">
        <v>3.7217867400000002</v>
      </c>
      <c r="E120" s="1">
        <v>0.456719804683763</v>
      </c>
      <c r="F120" s="1">
        <v>283.5</v>
      </c>
      <c r="G120" s="1">
        <v>4.9678626100000001</v>
      </c>
      <c r="M120" s="1">
        <v>0.25293898398746201</v>
      </c>
      <c r="N120" s="1">
        <v>305.89999999999998</v>
      </c>
      <c r="O120" s="1">
        <v>9.0167303099999998</v>
      </c>
      <c r="Q120" s="1">
        <v>0.24040911811778601</v>
      </c>
      <c r="R120" s="1">
        <v>312.8</v>
      </c>
      <c r="S120" s="1">
        <v>10.05608273</v>
      </c>
    </row>
    <row r="121" spans="1:19" x14ac:dyDescent="0.3">
      <c r="A121" s="1">
        <v>0.64297049118787197</v>
      </c>
      <c r="B121" s="1">
        <v>273.39999999999998</v>
      </c>
      <c r="C121" s="1">
        <v>3.6722381099999999</v>
      </c>
      <c r="E121" s="1">
        <v>0.42872455307381302</v>
      </c>
      <c r="F121" s="1">
        <v>283.5</v>
      </c>
      <c r="G121" s="1">
        <v>4.92839384</v>
      </c>
      <c r="M121" s="1">
        <v>0.23555049742797801</v>
      </c>
      <c r="N121" s="1">
        <v>305.89999999999998</v>
      </c>
      <c r="O121" s="1">
        <v>8.7470254900000004</v>
      </c>
      <c r="Q121" s="1">
        <v>0.23639662751700499</v>
      </c>
      <c r="R121" s="1">
        <v>312.8</v>
      </c>
      <c r="S121" s="1">
        <v>9.8653144800000003</v>
      </c>
    </row>
    <row r="122" spans="1:19" x14ac:dyDescent="0.3">
      <c r="A122" s="1">
        <v>0.61354397254301296</v>
      </c>
      <c r="B122" s="1">
        <v>273.39999999999998</v>
      </c>
      <c r="C122" s="1">
        <v>3.61167288</v>
      </c>
      <c r="E122" s="1">
        <v>0.39379592887374099</v>
      </c>
      <c r="F122" s="1">
        <v>283.5</v>
      </c>
      <c r="G122" s="1">
        <v>4.8560333299999998</v>
      </c>
      <c r="M122" s="1">
        <v>0.22119902875382</v>
      </c>
      <c r="N122" s="1">
        <v>305.89999999999998</v>
      </c>
      <c r="O122" s="1">
        <v>8.5003433200000007</v>
      </c>
      <c r="Q122" s="1">
        <v>0.23225620076912501</v>
      </c>
      <c r="R122" s="1">
        <v>312.8</v>
      </c>
      <c r="S122" s="1">
        <v>9.6646804799999995</v>
      </c>
    </row>
    <row r="123" spans="1:19" x14ac:dyDescent="0.3">
      <c r="A123" s="1">
        <v>0.58167870751838902</v>
      </c>
      <c r="B123" s="1">
        <v>273.39999999999998</v>
      </c>
      <c r="C123" s="1">
        <v>3.5731334700000001</v>
      </c>
      <c r="E123" s="1">
        <v>0.36377566347218199</v>
      </c>
      <c r="F123" s="1">
        <v>283.5</v>
      </c>
      <c r="G123" s="1">
        <v>4.7902522100000002</v>
      </c>
      <c r="M123" s="1">
        <v>0.20715536108287799</v>
      </c>
      <c r="N123" s="1">
        <v>305.89999999999998</v>
      </c>
      <c r="O123" s="1">
        <v>8.17801285</v>
      </c>
      <c r="Q123" s="1">
        <v>0.227832692033762</v>
      </c>
      <c r="R123" s="1">
        <v>312.8</v>
      </c>
      <c r="S123" s="1">
        <v>9.4739131899999993</v>
      </c>
    </row>
    <row r="124" spans="1:19" x14ac:dyDescent="0.3">
      <c r="A124" s="1">
        <v>0.54979088225976402</v>
      </c>
      <c r="B124" s="1">
        <v>273.39999999999998</v>
      </c>
      <c r="C124" s="1">
        <v>3.53459382</v>
      </c>
      <c r="E124" s="1">
        <v>0.32869017255142302</v>
      </c>
      <c r="F124" s="1">
        <v>283.5</v>
      </c>
      <c r="G124" s="1">
        <v>4.7244701400000002</v>
      </c>
      <c r="M124" s="1">
        <v>0.19088754942789299</v>
      </c>
      <c r="N124" s="1">
        <v>305.89999999999998</v>
      </c>
      <c r="O124" s="1">
        <v>7.7208294899999999</v>
      </c>
      <c r="Q124" s="1">
        <v>0.22202980242384099</v>
      </c>
      <c r="R124" s="1">
        <v>312.8</v>
      </c>
      <c r="S124" s="1">
        <v>9.1680278800000004</v>
      </c>
    </row>
    <row r="125" spans="1:19" x14ac:dyDescent="0.3">
      <c r="A125" s="1">
        <v>0.51810113683134895</v>
      </c>
      <c r="B125" s="1">
        <v>273.39999999999998</v>
      </c>
      <c r="C125" s="1">
        <v>3.49055004</v>
      </c>
      <c r="E125" s="1">
        <v>0.29575990879759501</v>
      </c>
      <c r="F125" s="1">
        <v>283.5</v>
      </c>
      <c r="G125" s="1">
        <v>4.6257977500000003</v>
      </c>
      <c r="M125" s="1">
        <v>0.181522807668658</v>
      </c>
      <c r="N125" s="1">
        <v>305.89999999999998</v>
      </c>
      <c r="O125" s="1">
        <v>7.3886318199999996</v>
      </c>
      <c r="Q125" s="1">
        <v>0.218300596049183</v>
      </c>
      <c r="R125" s="1">
        <v>312.8</v>
      </c>
      <c r="S125" s="1">
        <v>8.9937067000000006</v>
      </c>
    </row>
    <row r="126" spans="1:19" x14ac:dyDescent="0.3">
      <c r="A126" s="1">
        <v>0.48664985471370897</v>
      </c>
      <c r="B126" s="1">
        <v>273.39999999999998</v>
      </c>
      <c r="C126" s="1">
        <v>3.4465060200000002</v>
      </c>
      <c r="E126" s="1">
        <v>0.27157628818757201</v>
      </c>
      <c r="F126" s="1">
        <v>283.5</v>
      </c>
      <c r="G126" s="1">
        <v>4.5337028500000001</v>
      </c>
      <c r="M126" s="1">
        <v>0.16917044354483099</v>
      </c>
      <c r="N126" s="1">
        <v>305.89999999999998</v>
      </c>
      <c r="O126" s="1">
        <v>6.8656668700000001</v>
      </c>
      <c r="Q126" s="1">
        <v>0.21005814252784899</v>
      </c>
      <c r="R126" s="1">
        <v>312.8</v>
      </c>
      <c r="S126" s="1">
        <v>8.4904756500000005</v>
      </c>
    </row>
    <row r="127" spans="1:19" x14ac:dyDescent="0.3">
      <c r="A127" s="1">
        <v>0.45595374290313001</v>
      </c>
      <c r="B127" s="1">
        <v>273.39999999999998</v>
      </c>
      <c r="C127" s="1">
        <v>3.4024620099999998</v>
      </c>
      <c r="E127" s="1">
        <v>0.23792098807179801</v>
      </c>
      <c r="F127" s="1">
        <v>283.5</v>
      </c>
      <c r="G127" s="1">
        <v>4.4152960800000001</v>
      </c>
      <c r="M127" s="1">
        <v>0.15975227434939701</v>
      </c>
      <c r="N127" s="1">
        <v>305.89999999999998</v>
      </c>
      <c r="O127" s="1">
        <v>6.4216399199999996</v>
      </c>
      <c r="Q127" s="1">
        <v>0.20643215246807001</v>
      </c>
      <c r="R127" s="1">
        <v>312.8</v>
      </c>
      <c r="S127" s="1">
        <v>8.2964201000000006</v>
      </c>
    </row>
    <row r="128" spans="1:19" x14ac:dyDescent="0.3">
      <c r="A128" s="1">
        <v>0.426447857077278</v>
      </c>
      <c r="B128" s="1">
        <v>273.39999999999998</v>
      </c>
      <c r="C128" s="1">
        <v>3.3474092500000001</v>
      </c>
      <c r="E128" s="1">
        <v>0.21459574625108199</v>
      </c>
      <c r="F128" s="1">
        <v>283.5</v>
      </c>
      <c r="G128" s="1">
        <v>4.2870216399999999</v>
      </c>
      <c r="M128" s="1">
        <v>0.153189285089086</v>
      </c>
      <c r="N128" s="1">
        <v>305.89999999999998</v>
      </c>
      <c r="O128" s="1">
        <v>6.1025977100000004</v>
      </c>
      <c r="Q128" s="1">
        <v>0.20252105284147501</v>
      </c>
      <c r="R128" s="1">
        <v>312.8</v>
      </c>
      <c r="S128" s="1">
        <v>8.0990743599999995</v>
      </c>
    </row>
    <row r="129" spans="1:19" x14ac:dyDescent="0.3">
      <c r="A129" s="1">
        <v>0.39415654618833201</v>
      </c>
      <c r="B129" s="1">
        <v>273.39999999999998</v>
      </c>
      <c r="C129" s="1">
        <v>3.3033652299999998</v>
      </c>
      <c r="E129" s="1">
        <v>0.18920975860834699</v>
      </c>
      <c r="F129" s="1">
        <v>283.5</v>
      </c>
      <c r="G129" s="1">
        <v>4.0765194899999999</v>
      </c>
      <c r="M129" s="1">
        <v>0.14697586579681801</v>
      </c>
      <c r="N129" s="1">
        <v>305.89999999999998</v>
      </c>
      <c r="O129" s="1">
        <v>5.8131585100000001</v>
      </c>
      <c r="Q129" s="1">
        <v>0.19408836179424299</v>
      </c>
      <c r="R129" s="1">
        <v>312.8</v>
      </c>
      <c r="S129" s="1">
        <v>7.6090006800000003</v>
      </c>
    </row>
    <row r="130" spans="1:19" x14ac:dyDescent="0.3">
      <c r="A130" s="1">
        <v>0.36335438519542801</v>
      </c>
      <c r="B130" s="1">
        <v>273.39999999999998</v>
      </c>
      <c r="C130" s="1">
        <v>3.2538087400000002</v>
      </c>
      <c r="E130" s="1">
        <v>0.17455853518186201</v>
      </c>
      <c r="F130" s="1">
        <v>283.5</v>
      </c>
      <c r="G130" s="1">
        <v>3.9548234899999999</v>
      </c>
      <c r="M130" s="1">
        <v>0.137584431836967</v>
      </c>
      <c r="N130" s="1">
        <v>305.89999999999998</v>
      </c>
      <c r="O130" s="1">
        <v>5.3592639000000002</v>
      </c>
      <c r="Q130" s="1">
        <v>0.18509762390076201</v>
      </c>
      <c r="R130" s="1">
        <v>312.8</v>
      </c>
      <c r="S130" s="1">
        <v>7.1156373000000004</v>
      </c>
    </row>
    <row r="131" spans="1:19" x14ac:dyDescent="0.3">
      <c r="A131" s="1">
        <v>0.33345140882929097</v>
      </c>
      <c r="B131" s="1">
        <v>273.39999999999998</v>
      </c>
      <c r="C131" s="1">
        <v>3.1877388999999998</v>
      </c>
      <c r="E131" s="1">
        <v>0.15490666649608001</v>
      </c>
      <c r="F131" s="1">
        <v>283.5</v>
      </c>
      <c r="G131" s="1">
        <v>3.6719617800000002</v>
      </c>
      <c r="M131" s="1">
        <v>0.12713512297078999</v>
      </c>
      <c r="N131" s="1">
        <v>305.89999999999998</v>
      </c>
      <c r="O131" s="1">
        <v>4.8790574099999997</v>
      </c>
      <c r="Q131" s="1">
        <v>0.17932220509493199</v>
      </c>
      <c r="R131" s="1">
        <v>312.8</v>
      </c>
      <c r="S131" s="1">
        <v>6.8097519899999996</v>
      </c>
    </row>
    <row r="132" spans="1:19" x14ac:dyDescent="0.3">
      <c r="A132" s="1">
        <v>0.30304569020080702</v>
      </c>
      <c r="B132" s="1">
        <v>273.39999999999998</v>
      </c>
      <c r="C132" s="1">
        <v>3.1271815300000001</v>
      </c>
      <c r="E132" s="1">
        <v>0.14334857235835299</v>
      </c>
      <c r="F132" s="1">
        <v>283.5</v>
      </c>
      <c r="G132" s="1">
        <v>3.4154131400000001</v>
      </c>
      <c r="M132" s="1">
        <v>0.11812192584547999</v>
      </c>
      <c r="N132" s="1">
        <v>305.89999999999998</v>
      </c>
      <c r="O132" s="1">
        <v>4.4712104799999999</v>
      </c>
      <c r="Q132" s="1">
        <v>0.17547139184965499</v>
      </c>
      <c r="R132" s="1">
        <v>312.8</v>
      </c>
      <c r="S132" s="1">
        <v>6.6452980000000004</v>
      </c>
    </row>
    <row r="133" spans="1:19" x14ac:dyDescent="0.3">
      <c r="A133" s="1">
        <v>0.27453791170293501</v>
      </c>
      <c r="B133" s="1">
        <v>273.39999999999998</v>
      </c>
      <c r="C133" s="1">
        <v>3.0445981</v>
      </c>
      <c r="E133" s="1">
        <v>0.128369571259869</v>
      </c>
      <c r="F133" s="1">
        <v>283.5</v>
      </c>
      <c r="G133" s="1">
        <v>3.0930824299999999</v>
      </c>
      <c r="M133" s="1">
        <v>0.109023950839155</v>
      </c>
      <c r="N133" s="1">
        <v>305.89999999999998</v>
      </c>
      <c r="O133" s="1">
        <v>4.06007433</v>
      </c>
      <c r="Q133" s="1">
        <v>0.169917483473532</v>
      </c>
      <c r="R133" s="1">
        <v>312.8</v>
      </c>
      <c r="S133" s="1">
        <v>6.3558578499999996</v>
      </c>
    </row>
    <row r="134" spans="1:19" x14ac:dyDescent="0.3">
      <c r="A134" s="1">
        <v>0.24826129561045701</v>
      </c>
      <c r="B134" s="1">
        <v>273.39999999999998</v>
      </c>
      <c r="C134" s="1">
        <v>2.9510057000000001</v>
      </c>
      <c r="E134" s="1">
        <v>0.11715550610801601</v>
      </c>
      <c r="F134" s="1">
        <v>283.5</v>
      </c>
      <c r="G134" s="1">
        <v>2.8069317300000001</v>
      </c>
      <c r="M134" s="1">
        <v>9.9285879721680598E-2</v>
      </c>
      <c r="N134" s="1">
        <v>305.89999999999998</v>
      </c>
      <c r="O134" s="1">
        <v>3.6653838200000002</v>
      </c>
      <c r="Q134" s="1">
        <v>0.16173095463460899</v>
      </c>
      <c r="R134" s="1">
        <v>312.8</v>
      </c>
      <c r="S134" s="1">
        <v>5.8920965199999999</v>
      </c>
    </row>
    <row r="135" spans="1:19" x14ac:dyDescent="0.3">
      <c r="A135" s="1">
        <v>0.224589685147531</v>
      </c>
      <c r="B135" s="1">
        <v>273.39999999999998</v>
      </c>
      <c r="C135" s="1">
        <v>2.82437038</v>
      </c>
      <c r="E135" s="1">
        <v>0.105489933814978</v>
      </c>
      <c r="F135" s="1">
        <v>283.5</v>
      </c>
      <c r="G135" s="1">
        <v>2.4582884300000001</v>
      </c>
      <c r="M135" s="1">
        <v>8.9426156752596894E-2</v>
      </c>
      <c r="N135" s="1">
        <v>305.89999999999998</v>
      </c>
      <c r="O135" s="1">
        <v>3.28713846</v>
      </c>
      <c r="Q135" s="1">
        <v>0.153297287603956</v>
      </c>
      <c r="R135" s="1">
        <v>312.8</v>
      </c>
      <c r="S135" s="1">
        <v>5.4546480199999996</v>
      </c>
    </row>
    <row r="136" spans="1:19" x14ac:dyDescent="0.3">
      <c r="A136" s="1">
        <v>0.20282288947848201</v>
      </c>
      <c r="B136" s="1">
        <v>273.39999999999998</v>
      </c>
      <c r="C136" s="1">
        <v>2.67572498</v>
      </c>
      <c r="E136" s="1">
        <v>9.3526025001419794E-2</v>
      </c>
      <c r="F136" s="1">
        <v>283.5</v>
      </c>
      <c r="G136" s="1">
        <v>2.1458251499999998</v>
      </c>
      <c r="M136" s="1">
        <v>8.2087465519499497E-2</v>
      </c>
      <c r="N136" s="1">
        <v>305.89999999999998</v>
      </c>
      <c r="O136" s="1">
        <v>3.00427723</v>
      </c>
      <c r="Q136" s="1">
        <v>0.14948970254505201</v>
      </c>
      <c r="R136" s="1">
        <v>312.8</v>
      </c>
      <c r="S136" s="1">
        <v>5.2803258900000003</v>
      </c>
    </row>
    <row r="137" spans="1:19" x14ac:dyDescent="0.3">
      <c r="A137" s="1">
        <v>0.18519129387716299</v>
      </c>
      <c r="B137" s="1">
        <v>273.39999999999998</v>
      </c>
      <c r="C137" s="1">
        <v>2.4885323000000001</v>
      </c>
      <c r="E137" s="1">
        <v>8.3279981692647498E-2</v>
      </c>
      <c r="F137" s="1">
        <v>283.5</v>
      </c>
      <c r="G137" s="1">
        <v>1.9287451499999999</v>
      </c>
      <c r="M137" s="1">
        <v>7.1535709604510903E-2</v>
      </c>
      <c r="N137" s="1">
        <v>305.89999999999998</v>
      </c>
      <c r="O137" s="1">
        <v>2.6227426500000002</v>
      </c>
      <c r="Q137" s="1">
        <v>0.14523292703165999</v>
      </c>
      <c r="R137" s="1">
        <v>312.8</v>
      </c>
      <c r="S137" s="1">
        <v>5.0599570299999996</v>
      </c>
    </row>
    <row r="138" spans="1:19" x14ac:dyDescent="0.3">
      <c r="A138" s="1">
        <v>0.16884582324546399</v>
      </c>
      <c r="B138" s="1">
        <v>273.39999999999998</v>
      </c>
      <c r="C138" s="1">
        <v>2.2628002199999999</v>
      </c>
      <c r="E138" s="1">
        <v>7.4669548104114497E-2</v>
      </c>
      <c r="F138" s="1">
        <v>283.5</v>
      </c>
      <c r="G138" s="1">
        <v>1.6886417899999999</v>
      </c>
      <c r="M138" s="1">
        <v>6.0839788750893201E-2</v>
      </c>
      <c r="N138" s="1">
        <v>305.89999999999998</v>
      </c>
      <c r="O138" s="1">
        <v>2.2642321600000002</v>
      </c>
      <c r="Q138" s="1">
        <v>0.13723119595465499</v>
      </c>
      <c r="R138" s="1">
        <v>312.8</v>
      </c>
      <c r="S138" s="1">
        <v>4.6488213500000004</v>
      </c>
    </row>
    <row r="139" spans="1:19" x14ac:dyDescent="0.3">
      <c r="A139" s="1">
        <v>0.15478764930543901</v>
      </c>
      <c r="B139" s="1">
        <v>273.39999999999998</v>
      </c>
      <c r="C139" s="1">
        <v>2.0315635200000002</v>
      </c>
      <c r="E139" s="1">
        <v>6.3988182055617196E-2</v>
      </c>
      <c r="F139" s="1">
        <v>283.5</v>
      </c>
      <c r="G139" s="1">
        <v>1.4781401199999999</v>
      </c>
      <c r="M139" s="1">
        <v>4.9400349190173602E-2</v>
      </c>
      <c r="N139" s="1">
        <v>305.89999999999998</v>
      </c>
      <c r="O139" s="1">
        <v>1.9090106499999999</v>
      </c>
      <c r="Q139" s="1">
        <v>0.12771281599801701</v>
      </c>
      <c r="R139" s="1">
        <v>312.8</v>
      </c>
      <c r="S139" s="1">
        <v>4.2212395699999998</v>
      </c>
    </row>
    <row r="140" spans="1:19" x14ac:dyDescent="0.3">
      <c r="A140" s="1">
        <v>0.14331407776358801</v>
      </c>
      <c r="B140" s="1">
        <v>273.39999999999998</v>
      </c>
      <c r="C140" s="1">
        <v>1.7617872999999999</v>
      </c>
      <c r="E140" s="1">
        <v>5.3317277696279301E-2</v>
      </c>
      <c r="F140" s="1">
        <v>283.5</v>
      </c>
      <c r="G140" s="1">
        <v>1.2709275499999999</v>
      </c>
      <c r="M140" s="1">
        <v>4.0356251606223303E-2</v>
      </c>
      <c r="N140" s="1">
        <v>305.89999999999998</v>
      </c>
      <c r="O140" s="1">
        <v>1.64917278</v>
      </c>
      <c r="Q140" s="1">
        <v>0.123141835903515</v>
      </c>
      <c r="R140" s="1">
        <v>312.8</v>
      </c>
      <c r="S140" s="1">
        <v>4.0403399499999999</v>
      </c>
    </row>
    <row r="141" spans="1:19" x14ac:dyDescent="0.3">
      <c r="A141" s="1">
        <v>0.13094548910729001</v>
      </c>
      <c r="B141" s="1">
        <v>273.39999999999998</v>
      </c>
      <c r="C141" s="1">
        <v>1.51404512</v>
      </c>
      <c r="E141" s="1">
        <v>4.3245914134999702E-2</v>
      </c>
      <c r="F141" s="1">
        <v>283.5</v>
      </c>
      <c r="G141" s="1">
        <v>1.05713689</v>
      </c>
      <c r="M141" s="1">
        <v>3.1067106323952199E-2</v>
      </c>
      <c r="N141" s="1">
        <v>305.89999999999998</v>
      </c>
      <c r="O141" s="1">
        <v>1.39591289</v>
      </c>
      <c r="Q141" s="1">
        <v>0.116865342711373</v>
      </c>
      <c r="R141" s="1">
        <v>312.8</v>
      </c>
      <c r="S141" s="1">
        <v>3.7969472400000002</v>
      </c>
    </row>
    <row r="142" spans="1:19" x14ac:dyDescent="0.3">
      <c r="A142" s="1">
        <v>0.11756643254514999</v>
      </c>
      <c r="B142" s="1">
        <v>273.39999999999998</v>
      </c>
      <c r="C142" s="1">
        <v>1.27179146</v>
      </c>
      <c r="E142" s="1">
        <v>3.1109636943629101E-2</v>
      </c>
      <c r="F142" s="1">
        <v>283.5</v>
      </c>
      <c r="G142" s="1">
        <v>0.86965882999999999</v>
      </c>
      <c r="M142" s="1">
        <v>2.0880860052149699E-2</v>
      </c>
      <c r="N142" s="1">
        <v>305.89999999999998</v>
      </c>
      <c r="O142" s="1">
        <v>1.15580952</v>
      </c>
      <c r="Q142" s="1">
        <v>0.11125130039787599</v>
      </c>
      <c r="R142" s="1">
        <v>312.8</v>
      </c>
      <c r="S142" s="1">
        <v>3.5765783799999999</v>
      </c>
    </row>
    <row r="143" spans="1:19" x14ac:dyDescent="0.3">
      <c r="A143" s="1">
        <v>0.104477251968645</v>
      </c>
      <c r="B143" s="1">
        <v>273.39999999999998</v>
      </c>
      <c r="C143" s="1">
        <v>1.0350502699999999</v>
      </c>
      <c r="E143" s="1">
        <v>1.8626107005810001E-2</v>
      </c>
      <c r="F143" s="1">
        <v>283.5</v>
      </c>
      <c r="G143" s="1">
        <v>0.69204807000000002</v>
      </c>
      <c r="M143" s="1">
        <v>1.1518873410011799E-2</v>
      </c>
      <c r="N143" s="1">
        <v>305.89999999999998</v>
      </c>
      <c r="O143" s="1">
        <v>0.95846432000000004</v>
      </c>
      <c r="Q143" s="1">
        <v>0.102360825953363</v>
      </c>
      <c r="R143" s="1">
        <v>312.8</v>
      </c>
      <c r="S143" s="1">
        <v>3.2082004500000001</v>
      </c>
    </row>
    <row r="144" spans="1:19" x14ac:dyDescent="0.3">
      <c r="A144" s="1">
        <v>8.9820629667321905E-2</v>
      </c>
      <c r="B144" s="1">
        <v>273.39999999999998</v>
      </c>
      <c r="C144" s="1">
        <v>0.79830915000000002</v>
      </c>
      <c r="E144" s="1">
        <v>8.2092374317165699E-3</v>
      </c>
      <c r="F144" s="1">
        <v>283.5</v>
      </c>
      <c r="G144" s="1">
        <v>0.53088278</v>
      </c>
      <c r="M144" s="1">
        <v>2.0037702145926199E-3</v>
      </c>
      <c r="N144" s="1">
        <v>305.89999999999998</v>
      </c>
      <c r="O144" s="1">
        <v>0.78085344999999995</v>
      </c>
      <c r="Q144" s="1">
        <v>9.3205452409163003E-2</v>
      </c>
      <c r="R144" s="1">
        <v>312.8</v>
      </c>
      <c r="S144" s="1">
        <v>2.8529791800000002</v>
      </c>
    </row>
    <row r="145" spans="1:19" x14ac:dyDescent="0.3">
      <c r="A145" s="1">
        <v>7.3590905639645196E-2</v>
      </c>
      <c r="B145" s="1">
        <v>273.39999999999998</v>
      </c>
      <c r="C145" s="1">
        <v>0.56157595000000005</v>
      </c>
      <c r="E145" s="1">
        <v>0</v>
      </c>
      <c r="F145" s="1">
        <v>283.5</v>
      </c>
      <c r="G145" s="1">
        <v>0.40918651</v>
      </c>
      <c r="Q145" s="1">
        <v>8.6628378191414099E-2</v>
      </c>
      <c r="R145" s="1">
        <v>312.8</v>
      </c>
      <c r="S145" s="1">
        <v>2.6260318800000002</v>
      </c>
    </row>
    <row r="146" spans="1:19" x14ac:dyDescent="0.3">
      <c r="A146" s="1">
        <v>5.9050489446729103E-2</v>
      </c>
      <c r="B146" s="1">
        <v>273.39999999999998</v>
      </c>
      <c r="C146" s="1">
        <v>0.41842713999999998</v>
      </c>
      <c r="Q146" s="1">
        <v>8.0082933504595999E-2</v>
      </c>
      <c r="R146" s="1">
        <v>312.8</v>
      </c>
      <c r="S146" s="1">
        <v>2.40566301</v>
      </c>
    </row>
    <row r="147" spans="1:19" x14ac:dyDescent="0.3">
      <c r="A147" s="1">
        <v>4.9649262820458999E-2</v>
      </c>
      <c r="B147" s="1">
        <v>273.39999999999998</v>
      </c>
      <c r="C147" s="1">
        <v>0.30280878999999999</v>
      </c>
      <c r="Q147" s="1">
        <v>6.9298511885845598E-2</v>
      </c>
      <c r="R147" s="1">
        <v>312.8</v>
      </c>
      <c r="S147" s="1">
        <v>2.0339961099999999</v>
      </c>
    </row>
    <row r="148" spans="1:19" x14ac:dyDescent="0.3">
      <c r="A148" s="1">
        <v>3.9622170543719998E-2</v>
      </c>
      <c r="B148" s="1">
        <v>273.39999999999998</v>
      </c>
      <c r="C148" s="1">
        <v>0.24775586999999999</v>
      </c>
      <c r="Q148" s="1">
        <v>6.0940872262873001E-2</v>
      </c>
      <c r="R148" s="1">
        <v>312.8</v>
      </c>
      <c r="S148" s="1">
        <v>1.7708690199999999</v>
      </c>
    </row>
    <row r="149" spans="1:19" x14ac:dyDescent="0.3">
      <c r="A149" s="1">
        <v>3.3988880356806597E-2</v>
      </c>
      <c r="B149" s="1">
        <v>273.39999999999998</v>
      </c>
      <c r="C149" s="1">
        <v>0.18719046</v>
      </c>
      <c r="Q149" s="1">
        <v>5.2144910077654198E-2</v>
      </c>
      <c r="R149" s="1">
        <v>312.8</v>
      </c>
      <c r="S149" s="1">
        <v>1.50445294</v>
      </c>
    </row>
    <row r="150" spans="1:19" x14ac:dyDescent="0.3">
      <c r="A150" s="1">
        <v>2.7764636503238401E-2</v>
      </c>
      <c r="B150" s="1">
        <v>273.39999999999998</v>
      </c>
      <c r="C150" s="1">
        <v>0.15415549000000001</v>
      </c>
      <c r="Q150" s="1">
        <v>4.2912365619751099E-2</v>
      </c>
      <c r="R150" s="1">
        <v>312.8</v>
      </c>
      <c r="S150" s="1">
        <v>1.24790406</v>
      </c>
    </row>
    <row r="151" spans="1:19" x14ac:dyDescent="0.3">
      <c r="A151" s="1">
        <v>2.3364346249115799E-2</v>
      </c>
      <c r="B151" s="1">
        <v>273.39999999999998</v>
      </c>
      <c r="C151" s="1">
        <v>0.12112854000000001</v>
      </c>
      <c r="Q151" s="1">
        <v>3.1662137223103098E-2</v>
      </c>
      <c r="R151" s="1">
        <v>312.8</v>
      </c>
      <c r="S151" s="1">
        <v>0.99793332999999995</v>
      </c>
    </row>
    <row r="152" spans="1:19" x14ac:dyDescent="0.3">
      <c r="A152" s="1">
        <v>1.9560877686681199E-2</v>
      </c>
      <c r="B152" s="1">
        <v>273.39999999999998</v>
      </c>
      <c r="C152" s="1">
        <v>9.9102570000000001E-2</v>
      </c>
      <c r="Q152" s="1">
        <v>2.0444872572290499E-2</v>
      </c>
      <c r="R152" s="1">
        <v>312.8</v>
      </c>
      <c r="S152" s="1">
        <v>0.76769710000000002</v>
      </c>
    </row>
    <row r="153" spans="1:19" x14ac:dyDescent="0.3">
      <c r="Q153" s="1">
        <v>8.6265732817610297E-3</v>
      </c>
      <c r="R153" s="1">
        <v>312.8</v>
      </c>
      <c r="S153" s="1">
        <v>0.56377363000000003</v>
      </c>
    </row>
    <row r="154" spans="1:19" x14ac:dyDescent="0.3">
      <c r="Q154" s="1">
        <v>0</v>
      </c>
      <c r="R154" s="1">
        <v>312.8</v>
      </c>
      <c r="S154" s="1">
        <v>0.42892103999999998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67D4-927B-42DF-8C39-637210AE6F1F}">
  <dimension ref="A1:AE260"/>
  <sheetViews>
    <sheetView workbookViewId="0"/>
  </sheetViews>
  <sheetFormatPr baseColWidth="10" defaultRowHeight="14.4" x14ac:dyDescent="0.3"/>
  <cols>
    <col min="1" max="1" width="17.88671875" style="1" customWidth="1"/>
    <col min="2" max="2" width="13.77734375" style="1" customWidth="1"/>
    <col min="3" max="3" width="11.5546875" style="1"/>
    <col min="4" max="4" width="9.44140625" style="1" customWidth="1"/>
    <col min="5" max="5" width="15.77734375" style="1" bestFit="1" customWidth="1"/>
    <col min="6" max="7" width="11.5546875" style="1"/>
    <col min="8" max="8" width="9.44140625" style="1" customWidth="1"/>
    <col min="9" max="9" width="15.77734375" style="1" bestFit="1" customWidth="1"/>
    <col min="10" max="12" width="11.5546875" style="1"/>
    <col min="13" max="13" width="15.77734375" style="1" bestFit="1" customWidth="1"/>
    <col min="14" max="16384" width="11.5546875" style="1"/>
  </cols>
  <sheetData>
    <row r="1" spans="1:31" s="4" customFormat="1" x14ac:dyDescent="0.3">
      <c r="A1" s="3" t="s">
        <v>7</v>
      </c>
      <c r="B1" s="3"/>
      <c r="C1" s="3"/>
    </row>
    <row r="2" spans="1:31" x14ac:dyDescent="0.3">
      <c r="A2" s="2" t="s">
        <v>1</v>
      </c>
      <c r="B2" s="2" t="s">
        <v>2</v>
      </c>
      <c r="C2" s="2" t="s">
        <v>3</v>
      </c>
      <c r="E2" s="2" t="s">
        <v>1</v>
      </c>
      <c r="F2" s="2" t="s">
        <v>2</v>
      </c>
      <c r="G2" s="2" t="s">
        <v>3</v>
      </c>
      <c r="I2" s="2" t="s">
        <v>1</v>
      </c>
      <c r="J2" s="2" t="s">
        <v>2</v>
      </c>
      <c r="K2" s="2" t="s">
        <v>3</v>
      </c>
      <c r="M2" s="2" t="s">
        <v>1</v>
      </c>
      <c r="N2" s="2" t="s">
        <v>2</v>
      </c>
      <c r="O2" s="2" t="s">
        <v>3</v>
      </c>
      <c r="Q2" s="2" t="s">
        <v>1</v>
      </c>
      <c r="R2" s="2" t="s">
        <v>2</v>
      </c>
      <c r="S2" s="2" t="s">
        <v>3</v>
      </c>
      <c r="U2" s="2"/>
      <c r="V2" s="2"/>
      <c r="W2" s="2"/>
      <c r="Y2" s="2"/>
      <c r="Z2" s="2"/>
      <c r="AA2" s="2"/>
      <c r="AC2" s="2"/>
      <c r="AD2" s="2"/>
      <c r="AE2" s="2"/>
    </row>
    <row r="3" spans="1:31" x14ac:dyDescent="0.3">
      <c r="A3" s="2" t="s">
        <v>0</v>
      </c>
      <c r="B3" s="2" t="s">
        <v>4</v>
      </c>
      <c r="C3" s="2" t="s">
        <v>5</v>
      </c>
      <c r="E3" s="2" t="s">
        <v>0</v>
      </c>
      <c r="F3" s="2" t="s">
        <v>4</v>
      </c>
      <c r="G3" s="2" t="s">
        <v>5</v>
      </c>
      <c r="I3" s="2" t="s">
        <v>0</v>
      </c>
      <c r="J3" s="2" t="s">
        <v>4</v>
      </c>
      <c r="K3" s="2" t="s">
        <v>5</v>
      </c>
      <c r="M3" s="2" t="s">
        <v>0</v>
      </c>
      <c r="N3" s="2" t="s">
        <v>4</v>
      </c>
      <c r="O3" s="2" t="s">
        <v>5</v>
      </c>
      <c r="Q3" s="2" t="s">
        <v>0</v>
      </c>
      <c r="R3" s="2" t="s">
        <v>4</v>
      </c>
      <c r="S3" s="2" t="s">
        <v>5</v>
      </c>
      <c r="U3" s="2"/>
      <c r="V3" s="2"/>
      <c r="W3" s="2"/>
      <c r="Y3" s="2"/>
      <c r="Z3" s="2"/>
      <c r="AA3" s="2"/>
      <c r="AC3" s="2"/>
      <c r="AD3" s="2"/>
      <c r="AE3" s="2"/>
    </row>
    <row r="4" spans="1:31" x14ac:dyDescent="0.3">
      <c r="A4" s="1">
        <v>0</v>
      </c>
      <c r="B4" s="1">
        <v>283.14999999999998</v>
      </c>
      <c r="C4" s="1">
        <v>0</v>
      </c>
      <c r="E4" s="1">
        <v>0</v>
      </c>
      <c r="F4" s="1">
        <v>303.14999999999998</v>
      </c>
      <c r="G4" s="1">
        <v>0</v>
      </c>
      <c r="I4" s="1">
        <v>0</v>
      </c>
      <c r="J4" s="1">
        <v>323.14999999999998</v>
      </c>
      <c r="K4" s="1">
        <v>0</v>
      </c>
      <c r="M4">
        <v>0</v>
      </c>
      <c r="N4" s="1">
        <v>343.15</v>
      </c>
      <c r="O4">
        <v>0</v>
      </c>
      <c r="Q4" s="1">
        <v>0</v>
      </c>
      <c r="R4" s="1">
        <v>363.15</v>
      </c>
      <c r="S4" s="1">
        <v>0</v>
      </c>
      <c r="U4"/>
      <c r="V4"/>
      <c r="W4"/>
      <c r="Y4"/>
      <c r="Z4"/>
      <c r="AA4"/>
      <c r="AC4"/>
      <c r="AD4"/>
      <c r="AE4"/>
    </row>
    <row r="5" spans="1:31" x14ac:dyDescent="0.3">
      <c r="A5" s="1">
        <v>1.0699999999999999E-2</v>
      </c>
      <c r="B5" s="1">
        <v>283.14999999999998</v>
      </c>
      <c r="C5" s="1">
        <v>0.41420000000000001</v>
      </c>
      <c r="E5" s="1">
        <v>1.6500000000000001E-2</v>
      </c>
      <c r="F5" s="1">
        <v>303.14999999999998</v>
      </c>
      <c r="G5" s="1">
        <v>0.39750000000000002</v>
      </c>
      <c r="I5" s="1">
        <v>8.9370999999999999E-3</v>
      </c>
      <c r="J5" s="1">
        <v>323.14999999999998</v>
      </c>
      <c r="K5" s="1">
        <v>0.55449999999999999</v>
      </c>
      <c r="M5">
        <v>1.3899999999999999E-2</v>
      </c>
      <c r="N5" s="1">
        <v>343.15</v>
      </c>
      <c r="O5">
        <v>1.3829</v>
      </c>
      <c r="Q5" s="1">
        <v>1.4800000000000001E-2</v>
      </c>
      <c r="R5" s="1">
        <v>363.15</v>
      </c>
      <c r="S5" s="1">
        <v>1.7704</v>
      </c>
      <c r="U5"/>
      <c r="V5"/>
      <c r="W5"/>
      <c r="Y5"/>
      <c r="Z5"/>
      <c r="AA5"/>
      <c r="AC5"/>
      <c r="AD5"/>
      <c r="AE5"/>
    </row>
    <row r="6" spans="1:31" x14ac:dyDescent="0.3">
      <c r="A6" s="1">
        <v>1.7299999999999999E-2</v>
      </c>
      <c r="B6" s="1">
        <v>283.14999999999998</v>
      </c>
      <c r="C6" s="1">
        <v>0.92530000000000001</v>
      </c>
      <c r="E6" s="1">
        <v>2.3699999999999999E-2</v>
      </c>
      <c r="F6" s="1">
        <v>303.14999999999998</v>
      </c>
      <c r="G6" s="1">
        <v>1.2024999999999999</v>
      </c>
      <c r="I6" s="1">
        <v>1.35E-2</v>
      </c>
      <c r="J6" s="1">
        <v>323.14999999999998</v>
      </c>
      <c r="K6" s="1">
        <v>1.1758</v>
      </c>
      <c r="M6">
        <v>1.9699999999999999E-2</v>
      </c>
      <c r="N6" s="1">
        <v>343.15</v>
      </c>
      <c r="O6">
        <v>2.9260999999999999</v>
      </c>
      <c r="Q6" s="1">
        <v>0.02</v>
      </c>
      <c r="R6" s="1">
        <v>363.15</v>
      </c>
      <c r="S6" s="1">
        <v>3.8414000000000001</v>
      </c>
      <c r="U6"/>
      <c r="V6"/>
      <c r="W6"/>
      <c r="Y6"/>
      <c r="Z6"/>
      <c r="AA6"/>
      <c r="AC6"/>
      <c r="AD6"/>
      <c r="AE6"/>
    </row>
    <row r="7" spans="1:31" x14ac:dyDescent="0.3">
      <c r="A7" s="1">
        <v>2.3E-2</v>
      </c>
      <c r="B7" s="1">
        <v>283.14999999999998</v>
      </c>
      <c r="C7" s="1">
        <v>1.4663999999999999</v>
      </c>
      <c r="E7" s="1">
        <v>2.8299999999999999E-2</v>
      </c>
      <c r="F7" s="1">
        <v>303.14999999999998</v>
      </c>
      <c r="G7" s="1">
        <v>2.0308999999999999</v>
      </c>
      <c r="I7" s="1">
        <v>1.6899999999999998E-2</v>
      </c>
      <c r="J7" s="1">
        <v>323.14999999999998</v>
      </c>
      <c r="K7" s="1">
        <v>1.8170999999999999</v>
      </c>
      <c r="M7">
        <v>2.4199999999999999E-2</v>
      </c>
      <c r="N7" s="1">
        <v>343.15</v>
      </c>
      <c r="O7">
        <v>4.5895999999999999</v>
      </c>
      <c r="Q7" s="1">
        <v>2.4299999999999999E-2</v>
      </c>
      <c r="R7" s="1">
        <v>363.15</v>
      </c>
      <c r="S7" s="1">
        <v>6.4435000000000002</v>
      </c>
      <c r="U7"/>
      <c r="V7"/>
      <c r="W7"/>
      <c r="Y7"/>
      <c r="Z7"/>
      <c r="AA7"/>
      <c r="AC7"/>
      <c r="AD7"/>
      <c r="AE7"/>
    </row>
    <row r="8" spans="1:31" x14ac:dyDescent="0.3">
      <c r="A8" s="1">
        <v>2.7900000000000001E-2</v>
      </c>
      <c r="B8" s="1">
        <v>283.14999999999998</v>
      </c>
      <c r="C8" s="1">
        <v>2.0042</v>
      </c>
      <c r="E8" s="1">
        <v>3.2000000000000001E-2</v>
      </c>
      <c r="F8" s="1">
        <v>303.14999999999998</v>
      </c>
      <c r="G8" s="1">
        <v>2.9127999999999998</v>
      </c>
      <c r="I8" s="1">
        <v>2.0299999999999999E-2</v>
      </c>
      <c r="J8" s="1">
        <v>323.14999999999998</v>
      </c>
      <c r="K8" s="1">
        <v>2.5053000000000001</v>
      </c>
      <c r="M8">
        <v>2.8400000000000002E-2</v>
      </c>
      <c r="N8" s="1">
        <v>343.15</v>
      </c>
      <c r="O8">
        <v>6.2664999999999997</v>
      </c>
      <c r="Q8" s="1">
        <v>2.8000000000000001E-2</v>
      </c>
      <c r="R8" s="1">
        <v>363.15</v>
      </c>
      <c r="S8" s="1">
        <v>9.4497999999999998</v>
      </c>
      <c r="U8"/>
      <c r="V8"/>
      <c r="W8"/>
      <c r="Y8"/>
      <c r="Z8"/>
      <c r="AA8"/>
      <c r="AC8"/>
      <c r="AD8"/>
      <c r="AE8"/>
    </row>
    <row r="9" spans="1:31" x14ac:dyDescent="0.3">
      <c r="A9" s="1">
        <v>3.2800000000000003E-2</v>
      </c>
      <c r="B9" s="1">
        <v>283.14999999999998</v>
      </c>
      <c r="C9" s="1">
        <v>2.5587</v>
      </c>
      <c r="E9" s="1">
        <v>3.5400000000000001E-2</v>
      </c>
      <c r="F9" s="1">
        <v>303.14999999999998</v>
      </c>
      <c r="G9" s="1">
        <v>3.7913000000000001</v>
      </c>
      <c r="I9" s="1">
        <v>2.3300000000000001E-2</v>
      </c>
      <c r="J9" s="1">
        <v>323.14999999999998</v>
      </c>
      <c r="K9" s="1">
        <v>3.2233999999999998</v>
      </c>
      <c r="M9">
        <v>3.1899999999999998E-2</v>
      </c>
      <c r="N9" s="1">
        <v>343.15</v>
      </c>
      <c r="O9">
        <v>7.96</v>
      </c>
      <c r="Q9" s="1">
        <v>3.1600000000000003E-2</v>
      </c>
      <c r="R9" s="1">
        <v>363.15</v>
      </c>
      <c r="S9" s="1">
        <v>12.6098</v>
      </c>
      <c r="U9"/>
      <c r="V9"/>
      <c r="W9"/>
      <c r="Y9"/>
      <c r="Z9"/>
      <c r="AA9"/>
      <c r="AC9"/>
      <c r="AD9"/>
      <c r="AE9"/>
    </row>
    <row r="10" spans="1:31" x14ac:dyDescent="0.3">
      <c r="A10" s="1">
        <v>3.7499999999999999E-2</v>
      </c>
      <c r="B10" s="1">
        <v>283.14999999999998</v>
      </c>
      <c r="C10" s="1">
        <v>3.0964999999999998</v>
      </c>
      <c r="E10" s="1">
        <v>3.9100000000000003E-2</v>
      </c>
      <c r="F10" s="1">
        <v>303.14999999999998</v>
      </c>
      <c r="G10" s="1">
        <v>4.6798000000000002</v>
      </c>
      <c r="I10" s="1">
        <v>2.5899999999999999E-2</v>
      </c>
      <c r="J10" s="1">
        <v>323.14999999999998</v>
      </c>
      <c r="K10" s="1">
        <v>3.8982000000000001</v>
      </c>
      <c r="M10">
        <v>3.5499999999999997E-2</v>
      </c>
      <c r="N10" s="1">
        <v>343.15</v>
      </c>
      <c r="O10">
        <v>9.7236999999999991</v>
      </c>
      <c r="Q10" s="1">
        <v>3.4799999999999998E-2</v>
      </c>
      <c r="R10" s="1">
        <v>363.15</v>
      </c>
      <c r="S10" s="1">
        <v>15.7798</v>
      </c>
      <c r="U10"/>
      <c r="V10"/>
      <c r="W10"/>
      <c r="Y10"/>
      <c r="Z10"/>
      <c r="AA10"/>
      <c r="AC10"/>
      <c r="AD10"/>
      <c r="AE10"/>
    </row>
    <row r="11" spans="1:31" x14ac:dyDescent="0.3">
      <c r="A11" s="1">
        <v>4.2599999999999999E-2</v>
      </c>
      <c r="B11" s="1">
        <v>283.14999999999998</v>
      </c>
      <c r="C11" s="1">
        <v>3.6476999999999999</v>
      </c>
      <c r="E11" s="1">
        <v>4.2000000000000003E-2</v>
      </c>
      <c r="F11" s="1">
        <v>303.14999999999998</v>
      </c>
      <c r="G11" s="1">
        <v>5.5183</v>
      </c>
      <c r="I11" s="1">
        <v>2.8299999999999999E-2</v>
      </c>
      <c r="J11" s="1">
        <v>323.14999999999998</v>
      </c>
      <c r="K11" s="1">
        <v>4.6029999999999998</v>
      </c>
      <c r="M11">
        <v>3.8800000000000001E-2</v>
      </c>
      <c r="N11" s="1">
        <v>343.15</v>
      </c>
      <c r="O11">
        <v>11.4841</v>
      </c>
      <c r="Q11" s="1">
        <v>3.7600000000000001E-2</v>
      </c>
      <c r="R11" s="1">
        <v>363.15</v>
      </c>
      <c r="S11" s="1">
        <v>19.033300000000001</v>
      </c>
      <c r="U11"/>
      <c r="V11"/>
      <c r="W11"/>
      <c r="Y11"/>
      <c r="Z11"/>
      <c r="AA11"/>
      <c r="AC11"/>
      <c r="AD11"/>
      <c r="AE11"/>
    </row>
    <row r="12" spans="1:31" x14ac:dyDescent="0.3">
      <c r="A12" s="1">
        <v>4.7500000000000001E-2</v>
      </c>
      <c r="B12" s="1">
        <v>283.14999999999998</v>
      </c>
      <c r="C12" s="1">
        <v>4.1955</v>
      </c>
      <c r="E12" s="1">
        <v>4.5400000000000003E-2</v>
      </c>
      <c r="F12" s="1">
        <v>303.14999999999998</v>
      </c>
      <c r="G12" s="1">
        <v>6.3834</v>
      </c>
      <c r="I12" s="1">
        <v>3.0599999999999999E-2</v>
      </c>
      <c r="J12" s="1">
        <v>323.14999999999998</v>
      </c>
      <c r="K12" s="1">
        <v>5.3278999999999996</v>
      </c>
      <c r="M12">
        <v>4.24E-2</v>
      </c>
      <c r="N12" s="1">
        <v>343.15</v>
      </c>
      <c r="O12">
        <v>13.2645</v>
      </c>
      <c r="Q12" s="1">
        <v>4.0300000000000002E-2</v>
      </c>
      <c r="R12" s="1">
        <v>363.15</v>
      </c>
      <c r="S12" s="1">
        <v>22.333600000000001</v>
      </c>
      <c r="U12"/>
      <c r="V12"/>
      <c r="W12"/>
      <c r="Y12"/>
      <c r="Z12"/>
      <c r="AA12"/>
      <c r="AC12"/>
      <c r="AD12"/>
      <c r="AE12"/>
    </row>
    <row r="13" spans="1:31" x14ac:dyDescent="0.3">
      <c r="A13" s="1">
        <v>5.28E-2</v>
      </c>
      <c r="B13" s="1">
        <v>283.14999999999998</v>
      </c>
      <c r="C13" s="1">
        <v>4.7366000000000001</v>
      </c>
      <c r="E13" s="1">
        <v>4.8800000000000003E-2</v>
      </c>
      <c r="F13" s="1">
        <v>303.14999999999998</v>
      </c>
      <c r="G13" s="1">
        <v>7.3154000000000003</v>
      </c>
      <c r="I13" s="1">
        <v>3.32E-2</v>
      </c>
      <c r="J13" s="1">
        <v>323.14999999999998</v>
      </c>
      <c r="K13" s="1">
        <v>6.056</v>
      </c>
      <c r="M13">
        <v>4.6199999999999998E-2</v>
      </c>
      <c r="N13" s="1">
        <v>343.15</v>
      </c>
      <c r="O13">
        <v>15.085000000000001</v>
      </c>
      <c r="Q13" s="1">
        <v>4.3200000000000002E-2</v>
      </c>
      <c r="R13" s="1">
        <v>363.15</v>
      </c>
      <c r="S13" s="1">
        <v>25.5837</v>
      </c>
      <c r="U13"/>
      <c r="V13"/>
      <c r="W13"/>
      <c r="Y13"/>
      <c r="Z13"/>
      <c r="AA13"/>
      <c r="AC13"/>
      <c r="AD13"/>
      <c r="AE13"/>
    </row>
    <row r="14" spans="1:31" x14ac:dyDescent="0.3">
      <c r="A14" s="1">
        <v>5.8799999999999998E-2</v>
      </c>
      <c r="B14" s="1">
        <v>283.14999999999998</v>
      </c>
      <c r="C14" s="1">
        <v>5.2744</v>
      </c>
      <c r="E14" s="1">
        <v>5.2200000000000003E-2</v>
      </c>
      <c r="F14" s="1">
        <v>303.14999999999998</v>
      </c>
      <c r="G14" s="1">
        <v>8.2306000000000008</v>
      </c>
      <c r="I14" s="1">
        <v>3.56E-2</v>
      </c>
      <c r="J14" s="1">
        <v>323.14999999999998</v>
      </c>
      <c r="K14" s="1">
        <v>6.8009000000000004</v>
      </c>
      <c r="M14">
        <v>4.9500000000000002E-2</v>
      </c>
      <c r="N14" s="1">
        <v>343.15</v>
      </c>
      <c r="O14">
        <v>16.8855</v>
      </c>
      <c r="Q14" s="1">
        <v>4.5699999999999998E-2</v>
      </c>
      <c r="R14" s="1">
        <v>363.15</v>
      </c>
      <c r="S14" s="1">
        <v>28.9374</v>
      </c>
      <c r="U14"/>
      <c r="V14"/>
      <c r="W14"/>
      <c r="Y14"/>
      <c r="Z14"/>
      <c r="AA14"/>
      <c r="AC14"/>
      <c r="AD14"/>
      <c r="AE14"/>
    </row>
    <row r="15" spans="1:31" x14ac:dyDescent="0.3">
      <c r="A15" s="1">
        <v>6.59E-2</v>
      </c>
      <c r="B15" s="1">
        <v>283.14999999999998</v>
      </c>
      <c r="C15" s="1">
        <v>5.7653999999999996</v>
      </c>
      <c r="E15" s="1">
        <v>5.6099999999999997E-2</v>
      </c>
      <c r="F15" s="1">
        <v>303.14999999999998</v>
      </c>
      <c r="G15" s="1">
        <v>9.1257999999999999</v>
      </c>
      <c r="I15" s="1">
        <v>3.8199999999999998E-2</v>
      </c>
      <c r="J15" s="1">
        <v>323.14999999999998</v>
      </c>
      <c r="K15" s="1">
        <v>7.5758999999999999</v>
      </c>
      <c r="M15">
        <v>5.33E-2</v>
      </c>
      <c r="N15" s="1">
        <v>343.15</v>
      </c>
      <c r="O15">
        <v>18.742699999999999</v>
      </c>
      <c r="Q15" s="1">
        <v>4.8800000000000003E-2</v>
      </c>
      <c r="R15" s="1">
        <v>363.15</v>
      </c>
      <c r="S15" s="1">
        <v>32.368000000000002</v>
      </c>
      <c r="U15"/>
      <c r="V15"/>
      <c r="W15"/>
      <c r="Y15"/>
      <c r="Z15"/>
      <c r="AA15"/>
      <c r="AC15"/>
      <c r="AD15"/>
      <c r="AE15"/>
    </row>
    <row r="16" spans="1:31" x14ac:dyDescent="0.3">
      <c r="A16" s="1">
        <v>7.5700000000000003E-2</v>
      </c>
      <c r="B16" s="1">
        <v>283.14999999999998</v>
      </c>
      <c r="C16" s="1">
        <v>6.2096999999999998</v>
      </c>
      <c r="E16" s="1">
        <v>5.9799999999999999E-2</v>
      </c>
      <c r="F16" s="1">
        <v>303.14999999999998</v>
      </c>
      <c r="G16" s="1">
        <v>10.0845</v>
      </c>
      <c r="I16" s="1">
        <v>4.0399999999999998E-2</v>
      </c>
      <c r="J16" s="1">
        <v>323.14999999999998</v>
      </c>
      <c r="K16" s="1">
        <v>8.3208000000000002</v>
      </c>
      <c r="M16">
        <v>5.67E-2</v>
      </c>
      <c r="N16" s="1">
        <v>343.15</v>
      </c>
      <c r="O16">
        <v>20.603300000000001</v>
      </c>
      <c r="Q16" s="1">
        <v>5.1900000000000002E-2</v>
      </c>
      <c r="R16" s="1">
        <v>363.15</v>
      </c>
      <c r="S16" s="1">
        <v>35.8185</v>
      </c>
      <c r="U16"/>
      <c r="V16"/>
      <c r="W16"/>
      <c r="Y16"/>
      <c r="Z16"/>
      <c r="AA16"/>
      <c r="AC16"/>
      <c r="AD16"/>
      <c r="AE16"/>
    </row>
    <row r="17" spans="1:31" x14ac:dyDescent="0.3">
      <c r="A17" s="1">
        <v>9.1300000000000006E-2</v>
      </c>
      <c r="B17" s="1">
        <v>283.14999999999998</v>
      </c>
      <c r="C17" s="1">
        <v>6.5804999999999998</v>
      </c>
      <c r="E17" s="1">
        <v>6.3600000000000004E-2</v>
      </c>
      <c r="F17" s="1">
        <v>303.14999999999998</v>
      </c>
      <c r="G17" s="1">
        <v>11.0265</v>
      </c>
      <c r="I17" s="1">
        <v>4.2999999999999997E-2</v>
      </c>
      <c r="J17" s="1">
        <v>323.14999999999998</v>
      </c>
      <c r="K17" s="1">
        <v>9.0991</v>
      </c>
      <c r="M17">
        <v>6.08E-2</v>
      </c>
      <c r="N17" s="1">
        <v>343.15</v>
      </c>
      <c r="O17">
        <v>22.4605</v>
      </c>
      <c r="Q17" s="1">
        <v>5.5199999999999999E-2</v>
      </c>
      <c r="R17" s="1">
        <v>363.15</v>
      </c>
      <c r="S17" s="1">
        <v>39.322600000000001</v>
      </c>
      <c r="U17"/>
      <c r="V17"/>
      <c r="W17"/>
      <c r="Y17"/>
      <c r="Z17"/>
      <c r="AA17"/>
      <c r="AC17"/>
      <c r="AD17"/>
      <c r="AE17"/>
    </row>
    <row r="18" spans="1:31" x14ac:dyDescent="0.3">
      <c r="A18" s="1">
        <v>0.1109</v>
      </c>
      <c r="B18" s="1">
        <v>283.14999999999998</v>
      </c>
      <c r="C18" s="1">
        <v>6.8444000000000003</v>
      </c>
      <c r="E18" s="1">
        <v>6.7900000000000002E-2</v>
      </c>
      <c r="F18" s="1">
        <v>303.14999999999998</v>
      </c>
      <c r="G18" s="1">
        <v>11.9651</v>
      </c>
      <c r="I18" s="1">
        <v>4.5499999999999999E-2</v>
      </c>
      <c r="J18" s="1">
        <v>323.14999999999998</v>
      </c>
      <c r="K18" s="1">
        <v>9.8673999999999999</v>
      </c>
      <c r="M18">
        <v>6.4199999999999993E-2</v>
      </c>
      <c r="N18" s="1">
        <v>343.15</v>
      </c>
      <c r="O18">
        <v>24.357800000000001</v>
      </c>
      <c r="Q18" s="1">
        <v>5.8500000000000003E-2</v>
      </c>
      <c r="R18" s="1">
        <v>363.15</v>
      </c>
      <c r="S18" s="1">
        <v>42.803199999999997</v>
      </c>
      <c r="U18"/>
      <c r="V18"/>
      <c r="W18"/>
      <c r="Y18"/>
      <c r="Z18"/>
      <c r="AA18"/>
      <c r="AC18"/>
      <c r="AD18"/>
      <c r="AE18"/>
    </row>
    <row r="19" spans="1:31" x14ac:dyDescent="0.3">
      <c r="A19" s="1">
        <v>0.13270000000000001</v>
      </c>
      <c r="B19" s="1">
        <v>283.14999999999998</v>
      </c>
      <c r="C19" s="1">
        <v>7.0448000000000004</v>
      </c>
      <c r="E19" s="1">
        <v>7.2499999999999995E-2</v>
      </c>
      <c r="F19" s="1">
        <v>303.14999999999998</v>
      </c>
      <c r="G19" s="1">
        <v>12.900399999999999</v>
      </c>
      <c r="I19" s="1">
        <v>4.7500000000000001E-2</v>
      </c>
      <c r="J19" s="1">
        <v>323.14999999999998</v>
      </c>
      <c r="K19" s="1">
        <v>10.665699999999999</v>
      </c>
      <c r="M19">
        <v>6.8500000000000005E-2</v>
      </c>
      <c r="N19" s="1">
        <v>343.15</v>
      </c>
      <c r="O19">
        <v>26.2685</v>
      </c>
      <c r="Q19" s="1">
        <v>6.2700000000000006E-2</v>
      </c>
      <c r="R19" s="1">
        <v>363.15</v>
      </c>
      <c r="S19" s="1">
        <v>46.337299999999999</v>
      </c>
      <c r="U19"/>
      <c r="V19"/>
      <c r="W19"/>
      <c r="Y19"/>
      <c r="Z19"/>
      <c r="AA19"/>
      <c r="AC19"/>
      <c r="AD19"/>
      <c r="AE19"/>
    </row>
    <row r="20" spans="1:31" x14ac:dyDescent="0.3">
      <c r="A20" s="1">
        <v>0.1575</v>
      </c>
      <c r="B20" s="1">
        <v>283.14999999999998</v>
      </c>
      <c r="C20" s="1">
        <v>7.2218</v>
      </c>
      <c r="E20" s="1">
        <v>7.9399999999999998E-2</v>
      </c>
      <c r="F20" s="1">
        <v>303.14999999999998</v>
      </c>
      <c r="G20" s="1">
        <v>13.808999999999999</v>
      </c>
      <c r="I20" s="1">
        <v>4.9700000000000001E-2</v>
      </c>
      <c r="J20" s="1">
        <v>323.14999999999998</v>
      </c>
      <c r="K20" s="1">
        <v>11.450699999999999</v>
      </c>
      <c r="M20">
        <v>7.1800000000000003E-2</v>
      </c>
      <c r="N20" s="1">
        <v>343.15</v>
      </c>
      <c r="O20">
        <v>28.202500000000001</v>
      </c>
      <c r="Q20" s="1">
        <v>6.8199999999999997E-2</v>
      </c>
      <c r="R20" s="1">
        <v>363.15</v>
      </c>
      <c r="S20" s="1">
        <v>49.8446</v>
      </c>
      <c r="U20"/>
      <c r="V20"/>
      <c r="W20"/>
      <c r="Y20"/>
      <c r="Z20"/>
      <c r="AA20"/>
      <c r="AC20"/>
      <c r="AD20"/>
      <c r="AE20"/>
    </row>
    <row r="21" spans="1:31" x14ac:dyDescent="0.3">
      <c r="A21" s="1">
        <v>0.18279999999999999</v>
      </c>
      <c r="B21" s="1">
        <v>283.14999999999998</v>
      </c>
      <c r="C21" s="1">
        <v>7.3720999999999997</v>
      </c>
      <c r="E21" s="1">
        <v>8.8999999999999996E-2</v>
      </c>
      <c r="F21" s="1">
        <v>303.14999999999998</v>
      </c>
      <c r="G21" s="1">
        <v>14.657400000000001</v>
      </c>
      <c r="I21" s="1">
        <v>5.21E-2</v>
      </c>
      <c r="J21" s="1">
        <v>323.14999999999998</v>
      </c>
      <c r="K21" s="1">
        <v>12.2624</v>
      </c>
      <c r="M21">
        <v>7.6799999999999993E-2</v>
      </c>
      <c r="N21" s="1">
        <v>343.15</v>
      </c>
      <c r="O21">
        <v>30.1767</v>
      </c>
      <c r="Q21" s="1">
        <v>7.46E-2</v>
      </c>
      <c r="R21" s="1">
        <v>363.15</v>
      </c>
      <c r="S21" s="1">
        <v>53.3553</v>
      </c>
      <c r="U21"/>
      <c r="V21"/>
      <c r="W21"/>
      <c r="Y21"/>
      <c r="Z21"/>
      <c r="AA21"/>
      <c r="AC21"/>
      <c r="AD21"/>
      <c r="AE21"/>
    </row>
    <row r="22" spans="1:31" x14ac:dyDescent="0.3">
      <c r="A22" s="1">
        <v>0.2072</v>
      </c>
      <c r="B22" s="1">
        <v>283.14999999999998</v>
      </c>
      <c r="C22" s="1">
        <v>7.5023999999999997</v>
      </c>
      <c r="E22" s="1">
        <v>0.1032</v>
      </c>
      <c r="F22" s="1">
        <v>303.14999999999998</v>
      </c>
      <c r="G22" s="1">
        <v>15.4023</v>
      </c>
      <c r="I22" s="1">
        <v>5.5E-2</v>
      </c>
      <c r="J22" s="1">
        <v>323.14999999999998</v>
      </c>
      <c r="K22" s="1">
        <v>13.0975</v>
      </c>
      <c r="M22">
        <v>8.0799999999999997E-2</v>
      </c>
      <c r="N22" s="1">
        <v>343.15</v>
      </c>
      <c r="O22">
        <v>32.174199999999999</v>
      </c>
      <c r="Q22" s="1">
        <v>8.4000000000000005E-2</v>
      </c>
      <c r="R22" s="1">
        <v>363.15</v>
      </c>
      <c r="S22" s="1">
        <v>56.842700000000001</v>
      </c>
      <c r="U22"/>
      <c r="V22"/>
      <c r="W22"/>
      <c r="Y22"/>
      <c r="Z22"/>
      <c r="AA22"/>
      <c r="AC22"/>
      <c r="AD22"/>
      <c r="AE22"/>
    </row>
    <row r="23" spans="1:31" x14ac:dyDescent="0.3">
      <c r="A23" s="1">
        <v>0.23530000000000001</v>
      </c>
      <c r="B23" s="1">
        <v>283.14999999999998</v>
      </c>
      <c r="C23" s="1">
        <v>7.6260000000000003</v>
      </c>
      <c r="E23" s="1">
        <v>0.12379999999999999</v>
      </c>
      <c r="F23" s="1">
        <v>303.14999999999998</v>
      </c>
      <c r="G23" s="1">
        <v>16.0303</v>
      </c>
      <c r="I23" s="1">
        <v>5.7299999999999997E-2</v>
      </c>
      <c r="J23" s="1">
        <v>323.14999999999998</v>
      </c>
      <c r="K23" s="1">
        <v>13.895799999999999</v>
      </c>
      <c r="M23">
        <v>8.5500000000000007E-2</v>
      </c>
      <c r="N23" s="1">
        <v>343.15</v>
      </c>
      <c r="O23">
        <v>34.151699999999998</v>
      </c>
      <c r="Q23" s="1">
        <v>9.9500000000000005E-2</v>
      </c>
      <c r="R23" s="1">
        <v>363.15</v>
      </c>
      <c r="S23" s="1">
        <v>60.236499999999999</v>
      </c>
      <c r="U23"/>
      <c r="V23"/>
      <c r="W23"/>
      <c r="Y23"/>
      <c r="Z23"/>
      <c r="AA23"/>
      <c r="AC23"/>
      <c r="AD23"/>
      <c r="AE23"/>
    </row>
    <row r="24" spans="1:31" x14ac:dyDescent="0.3">
      <c r="A24" s="1">
        <v>0.26290000000000002</v>
      </c>
      <c r="B24" s="1">
        <v>283.14999999999998</v>
      </c>
      <c r="C24" s="1">
        <v>7.7529000000000003</v>
      </c>
      <c r="E24" s="1">
        <v>0.14960000000000001</v>
      </c>
      <c r="F24" s="1">
        <v>303.14999999999998</v>
      </c>
      <c r="G24" s="1">
        <v>16.561399999999999</v>
      </c>
      <c r="I24" s="1">
        <v>5.9799999999999999E-2</v>
      </c>
      <c r="J24" s="1">
        <v>323.14999999999998</v>
      </c>
      <c r="K24" s="1">
        <v>14.7309</v>
      </c>
      <c r="M24">
        <v>9.1499999999999998E-2</v>
      </c>
      <c r="N24" s="1">
        <v>343.15</v>
      </c>
      <c r="O24">
        <v>36.125799999999998</v>
      </c>
      <c r="Q24" s="1">
        <v>0.1255</v>
      </c>
      <c r="R24" s="1">
        <v>363.15</v>
      </c>
      <c r="S24" s="1">
        <v>63.463200000000001</v>
      </c>
      <c r="U24"/>
      <c r="V24"/>
      <c r="W24"/>
      <c r="Y24"/>
      <c r="Z24"/>
      <c r="AA24"/>
      <c r="AC24"/>
      <c r="AD24"/>
      <c r="AE24"/>
    </row>
    <row r="25" spans="1:31" x14ac:dyDescent="0.3">
      <c r="A25" s="1">
        <v>0.2913</v>
      </c>
      <c r="B25" s="1">
        <v>283.14999999999998</v>
      </c>
      <c r="C25" s="1">
        <v>7.8498000000000001</v>
      </c>
      <c r="E25" s="1">
        <v>0.17730000000000001</v>
      </c>
      <c r="F25" s="1">
        <v>303.14999999999998</v>
      </c>
      <c r="G25" s="1">
        <v>17.0124</v>
      </c>
      <c r="I25" s="1">
        <v>6.2600000000000003E-2</v>
      </c>
      <c r="J25" s="1">
        <v>323.14999999999998</v>
      </c>
      <c r="K25" s="1">
        <v>15.6395</v>
      </c>
      <c r="M25">
        <v>0.1003</v>
      </c>
      <c r="N25" s="1">
        <v>343.15</v>
      </c>
      <c r="O25">
        <v>38.086599999999997</v>
      </c>
      <c r="Q25" s="1">
        <v>0.15840000000000001</v>
      </c>
      <c r="R25" s="1">
        <v>363.15</v>
      </c>
      <c r="S25" s="1">
        <v>66.4328</v>
      </c>
      <c r="U25"/>
      <c r="V25"/>
      <c r="W25"/>
      <c r="Y25"/>
      <c r="Z25"/>
      <c r="AA25"/>
      <c r="AC25"/>
      <c r="AD25"/>
      <c r="AE25"/>
    </row>
    <row r="26" spans="1:31" x14ac:dyDescent="0.3">
      <c r="A26" s="1">
        <v>0.31819999999999998</v>
      </c>
      <c r="B26" s="1">
        <v>283.14999999999998</v>
      </c>
      <c r="C26" s="1">
        <v>7.9534000000000002</v>
      </c>
      <c r="E26" s="1">
        <v>0.20930000000000001</v>
      </c>
      <c r="F26" s="1">
        <v>303.14999999999998</v>
      </c>
      <c r="G26" s="1">
        <v>17.423200000000001</v>
      </c>
      <c r="I26" s="1">
        <v>6.5799999999999997E-2</v>
      </c>
      <c r="J26" s="1">
        <v>323.14999999999998</v>
      </c>
      <c r="K26" s="1">
        <v>16.501300000000001</v>
      </c>
      <c r="M26">
        <v>0.114</v>
      </c>
      <c r="N26" s="1">
        <v>343.15</v>
      </c>
      <c r="O26">
        <v>39.970599999999997</v>
      </c>
      <c r="Q26" s="1">
        <v>0.20349999999999999</v>
      </c>
      <c r="R26" s="1">
        <v>363.15</v>
      </c>
      <c r="S26" s="1">
        <v>69.2654</v>
      </c>
      <c r="U26"/>
      <c r="V26"/>
      <c r="W26"/>
      <c r="Y26"/>
      <c r="Z26"/>
      <c r="AA26"/>
      <c r="AC26"/>
      <c r="AD26"/>
      <c r="AE26"/>
    </row>
    <row r="27" spans="1:31" x14ac:dyDescent="0.3">
      <c r="A27" s="1">
        <v>0.34760000000000002</v>
      </c>
      <c r="B27" s="1">
        <v>283.14999999999998</v>
      </c>
      <c r="C27" s="1">
        <v>8.0469000000000008</v>
      </c>
      <c r="E27" s="1">
        <v>0.24249999999999999</v>
      </c>
      <c r="F27" s="1">
        <v>303.14999999999998</v>
      </c>
      <c r="G27" s="1">
        <v>17.790700000000001</v>
      </c>
      <c r="I27" s="1">
        <v>6.8900000000000003E-2</v>
      </c>
      <c r="J27" s="1">
        <v>323.14999999999998</v>
      </c>
      <c r="K27" s="1">
        <v>17.606999999999999</v>
      </c>
      <c r="M27">
        <v>0.13</v>
      </c>
      <c r="N27" s="1">
        <v>343.15</v>
      </c>
      <c r="O27">
        <v>41.7209</v>
      </c>
      <c r="Q27" s="1">
        <v>0.25409999999999999</v>
      </c>
      <c r="R27" s="1">
        <v>363.15</v>
      </c>
      <c r="S27" s="1">
        <v>71.857500000000002</v>
      </c>
      <c r="U27"/>
      <c r="V27"/>
      <c r="W27"/>
      <c r="Y27"/>
      <c r="Z27"/>
      <c r="AA27"/>
      <c r="AC27"/>
      <c r="AD27"/>
      <c r="AE27"/>
    </row>
    <row r="28" spans="1:31" x14ac:dyDescent="0.3">
      <c r="A28" s="1">
        <v>0.37469999999999998</v>
      </c>
      <c r="B28" s="1">
        <v>283.14999999999998</v>
      </c>
      <c r="C28" s="1">
        <v>8.1538000000000004</v>
      </c>
      <c r="E28" s="1">
        <v>0.27610000000000001</v>
      </c>
      <c r="F28" s="1">
        <v>303.14999999999998</v>
      </c>
      <c r="G28" s="1">
        <v>18.124700000000001</v>
      </c>
      <c r="I28" s="1">
        <v>7.1900000000000006E-2</v>
      </c>
      <c r="J28" s="1">
        <v>323.14999999999998</v>
      </c>
      <c r="K28" s="1">
        <v>18.6892</v>
      </c>
      <c r="M28">
        <v>0.1545</v>
      </c>
      <c r="N28" s="1">
        <v>343.15</v>
      </c>
      <c r="O28">
        <v>43.371099999999998</v>
      </c>
      <c r="Q28" s="1">
        <v>0.30399999999999999</v>
      </c>
      <c r="R28" s="1">
        <v>363.15</v>
      </c>
      <c r="S28" s="1">
        <v>74.042100000000005</v>
      </c>
      <c r="U28"/>
      <c r="V28"/>
      <c r="W28"/>
      <c r="Y28"/>
      <c r="Z28"/>
      <c r="AA28"/>
      <c r="AC28"/>
      <c r="AD28"/>
      <c r="AE28"/>
    </row>
    <row r="29" spans="1:31" x14ac:dyDescent="0.3">
      <c r="A29" s="1">
        <v>0.40279999999999999</v>
      </c>
      <c r="B29" s="1">
        <v>283.14999999999998</v>
      </c>
      <c r="C29" s="1">
        <v>8.2406000000000006</v>
      </c>
      <c r="E29" s="1">
        <v>0.31330000000000002</v>
      </c>
      <c r="F29" s="1">
        <v>303.14999999999998</v>
      </c>
      <c r="G29" s="1">
        <v>18.455400000000001</v>
      </c>
      <c r="I29" s="1">
        <v>7.5800000000000006E-2</v>
      </c>
      <c r="J29" s="1">
        <v>323.14999999999998</v>
      </c>
      <c r="K29" s="1">
        <v>19.8216</v>
      </c>
      <c r="M29">
        <v>0.1825</v>
      </c>
      <c r="N29" s="1">
        <v>343.15</v>
      </c>
      <c r="O29">
        <v>44.877600000000001</v>
      </c>
      <c r="Q29" s="1">
        <v>0.36280000000000001</v>
      </c>
      <c r="R29" s="1">
        <v>363.15</v>
      </c>
      <c r="S29" s="1">
        <v>76.072999999999993</v>
      </c>
      <c r="U29"/>
      <c r="V29"/>
      <c r="W29"/>
      <c r="Y29"/>
      <c r="Z29"/>
      <c r="AA29"/>
      <c r="AC29"/>
      <c r="AD29"/>
      <c r="AE29"/>
    </row>
    <row r="30" spans="1:31" x14ac:dyDescent="0.3">
      <c r="A30" s="1">
        <v>0.43059999999999998</v>
      </c>
      <c r="B30" s="1">
        <v>283.14999999999998</v>
      </c>
      <c r="C30" s="1">
        <v>8.3442000000000007</v>
      </c>
      <c r="E30" s="1">
        <v>0.34989999999999999</v>
      </c>
      <c r="F30" s="1">
        <v>303.14999999999998</v>
      </c>
      <c r="G30" s="1">
        <v>18.756</v>
      </c>
      <c r="I30" s="1">
        <v>8.0100000000000005E-2</v>
      </c>
      <c r="J30" s="1">
        <v>323.14999999999998</v>
      </c>
      <c r="K30" s="1">
        <v>20.867100000000001</v>
      </c>
      <c r="M30">
        <v>0.21829999999999999</v>
      </c>
      <c r="N30" s="1">
        <v>343.15</v>
      </c>
      <c r="O30">
        <v>46.2605</v>
      </c>
      <c r="Q30" s="1">
        <v>0.4284</v>
      </c>
      <c r="R30" s="1">
        <v>363.15</v>
      </c>
      <c r="S30" s="1">
        <v>77.977000000000004</v>
      </c>
      <c r="U30"/>
      <c r="V30"/>
      <c r="W30"/>
      <c r="Y30"/>
      <c r="Z30"/>
      <c r="AA30"/>
      <c r="AC30"/>
      <c r="AD30"/>
      <c r="AE30"/>
    </row>
    <row r="31" spans="1:31" x14ac:dyDescent="0.3">
      <c r="A31" s="1">
        <v>0.45810000000000001</v>
      </c>
      <c r="B31" s="1">
        <v>283.14999999999998</v>
      </c>
      <c r="C31" s="1">
        <v>8.4376999999999995</v>
      </c>
      <c r="E31" s="1">
        <v>0.38650000000000001</v>
      </c>
      <c r="F31" s="1">
        <v>303.14999999999998</v>
      </c>
      <c r="G31" s="1">
        <v>19.04</v>
      </c>
      <c r="I31" s="1">
        <v>8.4500000000000006E-2</v>
      </c>
      <c r="J31" s="1">
        <v>323.14999999999998</v>
      </c>
      <c r="K31" s="1">
        <v>21.999500000000001</v>
      </c>
      <c r="M31">
        <v>0.25829999999999997</v>
      </c>
      <c r="N31" s="1">
        <v>343.15</v>
      </c>
      <c r="O31">
        <v>47.579900000000002</v>
      </c>
      <c r="Q31" s="1">
        <v>0.49840000000000001</v>
      </c>
      <c r="R31" s="1">
        <v>363.15</v>
      </c>
      <c r="S31" s="1">
        <v>79.770799999999994</v>
      </c>
      <c r="U31"/>
      <c r="V31"/>
      <c r="W31"/>
      <c r="Y31"/>
      <c r="Z31"/>
      <c r="AA31"/>
      <c r="AC31"/>
      <c r="AD31"/>
      <c r="AE31"/>
    </row>
    <row r="32" spans="1:31" x14ac:dyDescent="0.3">
      <c r="A32" s="1">
        <v>0.48470000000000002</v>
      </c>
      <c r="B32" s="1">
        <v>283.14999999999998</v>
      </c>
      <c r="C32" s="1">
        <v>8.5279000000000007</v>
      </c>
      <c r="E32" s="1">
        <v>0.42549999999999999</v>
      </c>
      <c r="F32" s="1">
        <v>303.14999999999998</v>
      </c>
      <c r="G32" s="1">
        <v>19.267099999999999</v>
      </c>
      <c r="I32" s="1">
        <v>9.0700000000000003E-2</v>
      </c>
      <c r="J32" s="1">
        <v>323.14999999999998</v>
      </c>
      <c r="K32" s="1">
        <v>23.115200000000002</v>
      </c>
      <c r="M32">
        <v>0.30480000000000002</v>
      </c>
      <c r="N32" s="1">
        <v>343.15</v>
      </c>
      <c r="O32">
        <v>48.805799999999998</v>
      </c>
      <c r="Q32" s="1">
        <v>0.55840000000000001</v>
      </c>
      <c r="R32" s="1">
        <v>363.15</v>
      </c>
      <c r="S32" s="1">
        <v>81.357500000000002</v>
      </c>
      <c r="U32"/>
      <c r="V32"/>
      <c r="W32"/>
      <c r="Y32"/>
      <c r="Z32"/>
      <c r="AA32"/>
      <c r="AC32"/>
      <c r="AD32"/>
      <c r="AE32"/>
    </row>
    <row r="33" spans="1:31" x14ac:dyDescent="0.3">
      <c r="A33" s="1">
        <v>0.51600000000000001</v>
      </c>
      <c r="B33" s="1">
        <v>283.14999999999998</v>
      </c>
      <c r="C33" s="1">
        <v>8.5646000000000004</v>
      </c>
      <c r="E33" s="1">
        <v>0.46410000000000001</v>
      </c>
      <c r="F33" s="1">
        <v>303.14999999999998</v>
      </c>
      <c r="G33" s="1">
        <v>19.530999999999999</v>
      </c>
      <c r="I33" s="1">
        <v>9.9599999999999994E-2</v>
      </c>
      <c r="J33" s="1">
        <v>323.14999999999998</v>
      </c>
      <c r="K33" s="1">
        <v>24.167400000000001</v>
      </c>
      <c r="M33">
        <v>0.35099999999999998</v>
      </c>
      <c r="N33" s="1">
        <v>343.15</v>
      </c>
      <c r="O33">
        <v>49.941499999999998</v>
      </c>
      <c r="Q33" s="1">
        <v>0.61660000000000004</v>
      </c>
      <c r="R33" s="1">
        <v>363.15</v>
      </c>
      <c r="S33" s="1">
        <v>83.000900000000001</v>
      </c>
      <c r="U33"/>
      <c r="V33"/>
      <c r="W33"/>
      <c r="Y33"/>
      <c r="Z33"/>
      <c r="AA33"/>
      <c r="AC33"/>
      <c r="AD33"/>
      <c r="AE33"/>
    </row>
    <row r="34" spans="1:31" x14ac:dyDescent="0.3">
      <c r="A34" s="1">
        <v>0.54600000000000004</v>
      </c>
      <c r="B34" s="1">
        <v>283.14999999999998</v>
      </c>
      <c r="C34" s="1">
        <v>8.6113999999999997</v>
      </c>
      <c r="E34" s="1">
        <v>0.50349999999999995</v>
      </c>
      <c r="F34" s="1">
        <v>303.14999999999998</v>
      </c>
      <c r="G34" s="1">
        <v>19.7715</v>
      </c>
      <c r="I34" s="1">
        <v>0.11020000000000001</v>
      </c>
      <c r="J34" s="1">
        <v>323.14999999999998</v>
      </c>
      <c r="K34" s="1">
        <v>25.146100000000001</v>
      </c>
      <c r="M34">
        <v>0.40139999999999998</v>
      </c>
      <c r="N34" s="1">
        <v>343.15</v>
      </c>
      <c r="O34">
        <v>50.990400000000001</v>
      </c>
      <c r="Q34" s="1">
        <v>0.67820000000000003</v>
      </c>
      <c r="R34" s="1">
        <v>363.15</v>
      </c>
      <c r="S34" s="1">
        <v>84.577600000000004</v>
      </c>
      <c r="U34"/>
      <c r="V34"/>
      <c r="W34"/>
      <c r="Y34"/>
      <c r="Z34"/>
      <c r="AA34"/>
      <c r="AC34"/>
      <c r="AD34"/>
      <c r="AE34"/>
    </row>
    <row r="35" spans="1:31" x14ac:dyDescent="0.3">
      <c r="A35" s="1">
        <v>0.57230000000000003</v>
      </c>
      <c r="B35" s="1">
        <v>283.14999999999998</v>
      </c>
      <c r="C35" s="1">
        <v>8.7182999999999993</v>
      </c>
      <c r="E35" s="1">
        <v>0.54330000000000001</v>
      </c>
      <c r="F35" s="1">
        <v>303.14999999999998</v>
      </c>
      <c r="G35" s="1">
        <v>20.012</v>
      </c>
      <c r="I35" s="1">
        <v>0.1236</v>
      </c>
      <c r="J35" s="1">
        <v>323.14999999999998</v>
      </c>
      <c r="K35" s="1">
        <v>26.081399999999999</v>
      </c>
      <c r="M35">
        <v>0.45639999999999997</v>
      </c>
      <c r="N35" s="1">
        <v>343.15</v>
      </c>
      <c r="O35">
        <v>52.002499999999998</v>
      </c>
      <c r="Q35" s="1">
        <v>0.73670000000000002</v>
      </c>
      <c r="R35" s="1">
        <v>363.15</v>
      </c>
      <c r="S35" s="1">
        <v>86.234399999999994</v>
      </c>
      <c r="U35"/>
      <c r="V35"/>
      <c r="W35"/>
      <c r="Y35"/>
      <c r="Z35"/>
      <c r="AA35"/>
      <c r="AC35"/>
      <c r="AD35"/>
      <c r="AE35"/>
    </row>
    <row r="36" spans="1:31" x14ac:dyDescent="0.3">
      <c r="A36" s="1">
        <v>0.60140000000000005</v>
      </c>
      <c r="B36" s="1">
        <v>283.14999999999998</v>
      </c>
      <c r="C36" s="1">
        <v>8.7885000000000009</v>
      </c>
      <c r="E36" s="1">
        <v>0.58230000000000004</v>
      </c>
      <c r="F36" s="1">
        <v>303.14999999999998</v>
      </c>
      <c r="G36" s="1">
        <v>20.252500000000001</v>
      </c>
      <c r="I36" s="1">
        <v>0.1431</v>
      </c>
      <c r="J36" s="1">
        <v>323.14999999999998</v>
      </c>
      <c r="K36" s="1">
        <v>26.919799999999999</v>
      </c>
      <c r="M36">
        <v>0.51100000000000001</v>
      </c>
      <c r="N36" s="1">
        <v>343.15</v>
      </c>
      <c r="O36">
        <v>52.991300000000003</v>
      </c>
      <c r="Q36" s="1">
        <v>0.79</v>
      </c>
      <c r="R36" s="1">
        <v>363.15</v>
      </c>
      <c r="S36" s="1">
        <v>88.064899999999994</v>
      </c>
      <c r="U36"/>
      <c r="V36"/>
      <c r="W36"/>
      <c r="Y36"/>
      <c r="Z36"/>
      <c r="AA36"/>
      <c r="AC36"/>
      <c r="AD36"/>
      <c r="AE36"/>
    </row>
    <row r="37" spans="1:31" x14ac:dyDescent="0.3">
      <c r="A37" s="1">
        <v>0.62829999999999997</v>
      </c>
      <c r="B37" s="1">
        <v>283.14999999999998</v>
      </c>
      <c r="C37" s="1">
        <v>8.9154</v>
      </c>
      <c r="E37" s="1">
        <v>0.62119999999999997</v>
      </c>
      <c r="F37" s="1">
        <v>303.14999999999998</v>
      </c>
      <c r="G37" s="1">
        <v>20.492999999999999</v>
      </c>
      <c r="I37" s="1">
        <v>0.1666</v>
      </c>
      <c r="J37" s="1">
        <v>323.14999999999998</v>
      </c>
      <c r="K37" s="1">
        <v>27.654699999999998</v>
      </c>
      <c r="M37">
        <v>0.56969999999999998</v>
      </c>
      <c r="N37" s="1">
        <v>343.15</v>
      </c>
      <c r="O37">
        <v>53.946599999999997</v>
      </c>
      <c r="Q37" s="1">
        <v>0.84260000000000002</v>
      </c>
      <c r="R37" s="1">
        <v>363.15</v>
      </c>
      <c r="S37" s="1">
        <v>89.915400000000005</v>
      </c>
      <c r="U37"/>
      <c r="V37"/>
      <c r="W37"/>
      <c r="Y37"/>
      <c r="Z37"/>
      <c r="AA37"/>
      <c r="AC37"/>
      <c r="AD37"/>
      <c r="AE37"/>
    </row>
    <row r="38" spans="1:31" x14ac:dyDescent="0.3">
      <c r="A38" s="1">
        <v>0.65610000000000002</v>
      </c>
      <c r="B38" s="1">
        <v>283.14999999999998</v>
      </c>
      <c r="C38" s="1">
        <v>9.0189000000000004</v>
      </c>
      <c r="E38" s="1">
        <v>0.65839999999999999</v>
      </c>
      <c r="F38" s="1">
        <v>303.14999999999998</v>
      </c>
      <c r="G38" s="1">
        <v>20.7469</v>
      </c>
      <c r="I38" s="1">
        <v>0.19309999999999999</v>
      </c>
      <c r="J38" s="1">
        <v>323.14999999999998</v>
      </c>
      <c r="K38" s="1">
        <v>28.302800000000001</v>
      </c>
      <c r="M38">
        <v>0.62419999999999998</v>
      </c>
      <c r="N38" s="1">
        <v>343.15</v>
      </c>
      <c r="O38">
        <v>54.918599999999998</v>
      </c>
      <c r="Q38" s="1">
        <v>0.88819999999999999</v>
      </c>
      <c r="R38" s="1">
        <v>363.15</v>
      </c>
      <c r="S38" s="1">
        <v>91.963099999999997</v>
      </c>
      <c r="U38"/>
      <c r="V38"/>
      <c r="W38"/>
      <c r="Y38"/>
      <c r="Z38"/>
      <c r="AA38"/>
      <c r="AC38"/>
      <c r="AD38"/>
      <c r="AE38"/>
    </row>
    <row r="39" spans="1:31" x14ac:dyDescent="0.3">
      <c r="A39" s="1">
        <v>0.68320000000000003</v>
      </c>
      <c r="B39" s="1">
        <v>283.14999999999998</v>
      </c>
      <c r="C39" s="1">
        <v>9.1492000000000004</v>
      </c>
      <c r="E39" s="1">
        <v>0.69730000000000003</v>
      </c>
      <c r="F39" s="1">
        <v>303.14999999999998</v>
      </c>
      <c r="G39" s="1">
        <v>20.9941</v>
      </c>
      <c r="I39" s="1">
        <v>0.22950000000000001</v>
      </c>
      <c r="J39" s="1">
        <v>323.14999999999998</v>
      </c>
      <c r="K39" s="1">
        <v>29.0076</v>
      </c>
      <c r="M39">
        <v>0.67859999999999998</v>
      </c>
      <c r="N39" s="1">
        <v>343.15</v>
      </c>
      <c r="O39">
        <v>55.907400000000003</v>
      </c>
      <c r="Q39" s="1">
        <v>0.92759999999999998</v>
      </c>
      <c r="R39" s="1">
        <v>363.15</v>
      </c>
      <c r="S39" s="1">
        <v>94.184399999999997</v>
      </c>
      <c r="U39"/>
      <c r="V39"/>
      <c r="W39"/>
      <c r="Y39"/>
      <c r="Z39"/>
      <c r="AA39"/>
      <c r="AC39"/>
      <c r="AD39"/>
      <c r="AE39"/>
    </row>
    <row r="40" spans="1:31" x14ac:dyDescent="0.3">
      <c r="A40" s="1">
        <v>0.71009999999999995</v>
      </c>
      <c r="B40" s="1">
        <v>283.14999999999998</v>
      </c>
      <c r="C40" s="1">
        <v>9.2361000000000004</v>
      </c>
      <c r="E40" s="1">
        <v>0.73609999999999998</v>
      </c>
      <c r="F40" s="1">
        <v>303.14999999999998</v>
      </c>
      <c r="G40" s="1">
        <v>21.241299999999999</v>
      </c>
      <c r="I40" s="1">
        <v>0.26779999999999998</v>
      </c>
      <c r="J40" s="1">
        <v>323.14999999999998</v>
      </c>
      <c r="K40" s="1">
        <v>29.678999999999998</v>
      </c>
      <c r="M40">
        <v>0.73219999999999996</v>
      </c>
      <c r="N40" s="1">
        <v>343.15</v>
      </c>
      <c r="O40">
        <v>56.956200000000003</v>
      </c>
      <c r="Q40" s="1">
        <v>0.95420000000000005</v>
      </c>
      <c r="R40" s="1">
        <v>363.15</v>
      </c>
      <c r="S40" s="1">
        <v>96.719700000000003</v>
      </c>
      <c r="U40"/>
      <c r="V40"/>
      <c r="W40"/>
      <c r="Y40"/>
      <c r="Z40"/>
      <c r="AA40"/>
      <c r="AC40"/>
      <c r="AD40"/>
      <c r="AE40"/>
    </row>
    <row r="41" spans="1:31" x14ac:dyDescent="0.3">
      <c r="A41" s="1">
        <v>0.73870000000000002</v>
      </c>
      <c r="B41" s="1">
        <v>283.14999999999998</v>
      </c>
      <c r="C41" s="1">
        <v>9.3262</v>
      </c>
      <c r="E41" s="1">
        <v>0.77380000000000004</v>
      </c>
      <c r="F41" s="1">
        <v>303.14999999999998</v>
      </c>
      <c r="G41" s="1">
        <v>21.555299999999999</v>
      </c>
      <c r="I41" s="1">
        <v>0.30780000000000002</v>
      </c>
      <c r="J41" s="1">
        <v>323.14999999999998</v>
      </c>
      <c r="K41" s="1">
        <v>30.3003</v>
      </c>
      <c r="M41">
        <v>0.78249999999999997</v>
      </c>
      <c r="N41" s="1">
        <v>343.15</v>
      </c>
      <c r="O41">
        <v>58.021799999999999</v>
      </c>
      <c r="Q41" s="1">
        <v>0.97860000000000003</v>
      </c>
      <c r="R41" s="1">
        <v>363.15</v>
      </c>
      <c r="S41" s="1">
        <v>99.331900000000005</v>
      </c>
      <c r="U41"/>
      <c r="V41"/>
      <c r="W41"/>
      <c r="Y41"/>
      <c r="Z41"/>
      <c r="AA41"/>
      <c r="AC41"/>
      <c r="AD41"/>
      <c r="AE41"/>
    </row>
    <row r="42" spans="1:31" x14ac:dyDescent="0.3">
      <c r="A42" s="1">
        <v>0.76619999999999999</v>
      </c>
      <c r="B42" s="1">
        <v>283.14999999999998</v>
      </c>
      <c r="C42" s="1">
        <v>9.4699000000000009</v>
      </c>
      <c r="E42" s="1">
        <v>0.81089999999999995</v>
      </c>
      <c r="F42" s="1">
        <v>303.14999999999998</v>
      </c>
      <c r="G42" s="1">
        <v>21.8659</v>
      </c>
      <c r="I42" s="1">
        <v>0.35189999999999999</v>
      </c>
      <c r="J42" s="1">
        <v>323.14999999999998</v>
      </c>
      <c r="K42" s="1">
        <v>30.848099999999999</v>
      </c>
      <c r="M42">
        <v>0.83309999999999995</v>
      </c>
      <c r="N42" s="1">
        <v>343.15</v>
      </c>
      <c r="O42">
        <v>59.1676</v>
      </c>
      <c r="Q42" s="1">
        <v>0.99690000000000001</v>
      </c>
      <c r="R42" s="1">
        <v>363.15</v>
      </c>
      <c r="S42" s="1">
        <v>102.1444</v>
      </c>
      <c r="U42"/>
      <c r="V42"/>
      <c r="W42"/>
      <c r="AC42"/>
      <c r="AD42"/>
      <c r="AE42"/>
    </row>
    <row r="43" spans="1:31" x14ac:dyDescent="0.3">
      <c r="A43" s="1">
        <v>0.79179999999999995</v>
      </c>
      <c r="B43" s="1">
        <v>283.14999999999998</v>
      </c>
      <c r="C43" s="1">
        <v>9.6369000000000007</v>
      </c>
      <c r="E43" s="1">
        <v>0.84599999999999997</v>
      </c>
      <c r="F43" s="1">
        <v>303.14999999999998</v>
      </c>
      <c r="G43" s="1">
        <v>22.1966</v>
      </c>
      <c r="I43" s="1">
        <v>0.39660000000000001</v>
      </c>
      <c r="J43" s="1">
        <v>323.14999999999998</v>
      </c>
      <c r="K43" s="1">
        <v>31.379200000000001</v>
      </c>
      <c r="M43">
        <v>0.87770000000000004</v>
      </c>
      <c r="N43" s="1">
        <v>343.15</v>
      </c>
      <c r="O43">
        <v>60.443600000000004</v>
      </c>
      <c r="Q43" s="1">
        <v>1.0089999999999999</v>
      </c>
      <c r="R43" s="1">
        <v>363.15</v>
      </c>
      <c r="S43" s="1">
        <v>105.1374</v>
      </c>
      <c r="U43"/>
      <c r="V43"/>
      <c r="W43"/>
      <c r="AC43"/>
      <c r="AD43"/>
      <c r="AE43"/>
    </row>
    <row r="44" spans="1:31" x14ac:dyDescent="0.3">
      <c r="A44" s="1">
        <v>0.81789999999999996</v>
      </c>
      <c r="B44" s="1">
        <v>283.14999999999998</v>
      </c>
      <c r="C44" s="1">
        <v>9.7705000000000002</v>
      </c>
      <c r="E44" s="1">
        <v>0.88090000000000002</v>
      </c>
      <c r="F44" s="1">
        <v>303.14999999999998</v>
      </c>
      <c r="G44" s="1">
        <v>22.550699999999999</v>
      </c>
      <c r="I44" s="1">
        <v>0.44379999999999997</v>
      </c>
      <c r="J44" s="1">
        <v>323.14999999999998</v>
      </c>
      <c r="K44" s="1">
        <v>31.883600000000001</v>
      </c>
      <c r="M44">
        <v>0.92249999999999999</v>
      </c>
      <c r="N44" s="1">
        <v>343.15</v>
      </c>
      <c r="O44">
        <v>61.803100000000001</v>
      </c>
      <c r="Q44" s="1">
        <v>1.0179</v>
      </c>
      <c r="R44" s="1">
        <v>363.15</v>
      </c>
      <c r="S44" s="1">
        <v>108.2573</v>
      </c>
      <c r="U44"/>
      <c r="V44"/>
      <c r="W44"/>
      <c r="AC44"/>
      <c r="AD44"/>
      <c r="AE44"/>
    </row>
    <row r="45" spans="1:31" x14ac:dyDescent="0.3">
      <c r="A45" s="1">
        <v>0.84430000000000005</v>
      </c>
      <c r="B45" s="1">
        <v>283.14999999999998</v>
      </c>
      <c r="C45" s="1">
        <v>9.9075000000000006</v>
      </c>
      <c r="E45" s="1">
        <v>0.91539999999999999</v>
      </c>
      <c r="F45" s="1">
        <v>303.14999999999998</v>
      </c>
      <c r="G45" s="1">
        <v>22.951499999999999</v>
      </c>
      <c r="I45" s="1">
        <v>0.49130000000000001</v>
      </c>
      <c r="J45" s="1">
        <v>323.14999999999998</v>
      </c>
      <c r="K45" s="1">
        <v>32.334600000000002</v>
      </c>
      <c r="M45">
        <v>0.95840000000000003</v>
      </c>
      <c r="N45" s="1">
        <v>343.15</v>
      </c>
      <c r="O45">
        <v>63.316299999999998</v>
      </c>
      <c r="Q45" s="1">
        <v>1.0238</v>
      </c>
      <c r="R45" s="1">
        <v>363.15</v>
      </c>
      <c r="S45" s="1">
        <v>111.48739999999999</v>
      </c>
      <c r="U45"/>
      <c r="V45"/>
      <c r="W45"/>
      <c r="AC45"/>
      <c r="AD45"/>
      <c r="AE45"/>
    </row>
    <row r="46" spans="1:31" x14ac:dyDescent="0.3">
      <c r="A46" s="1">
        <v>0.872</v>
      </c>
      <c r="B46" s="1">
        <v>283.14999999999998</v>
      </c>
      <c r="C46" s="1">
        <v>10.0511</v>
      </c>
      <c r="E46" s="1">
        <v>0.94879999999999998</v>
      </c>
      <c r="F46" s="1">
        <v>303.14999999999998</v>
      </c>
      <c r="G46" s="1">
        <v>23.352399999999999</v>
      </c>
      <c r="I46" s="1">
        <v>0.53859999999999997</v>
      </c>
      <c r="J46" s="1">
        <v>323.14999999999998</v>
      </c>
      <c r="K46" s="1">
        <v>32.822200000000002</v>
      </c>
      <c r="M46">
        <v>0.98870000000000002</v>
      </c>
      <c r="N46" s="1">
        <v>343.15</v>
      </c>
      <c r="O46">
        <v>64.989800000000002</v>
      </c>
      <c r="Q46" s="1">
        <v>1.0314000000000001</v>
      </c>
      <c r="R46" s="1">
        <v>363.15</v>
      </c>
      <c r="S46" s="1">
        <v>114.8511</v>
      </c>
      <c r="U46"/>
      <c r="V46"/>
      <c r="W46"/>
      <c r="AC46"/>
      <c r="AD46"/>
      <c r="AE46"/>
    </row>
    <row r="47" spans="1:31" x14ac:dyDescent="0.3">
      <c r="A47" s="1">
        <v>0.89639999999999997</v>
      </c>
      <c r="B47" s="1">
        <v>283.14999999999998</v>
      </c>
      <c r="C47" s="1">
        <v>10.2248</v>
      </c>
      <c r="E47" s="1">
        <v>0.98129999999999995</v>
      </c>
      <c r="F47" s="1">
        <v>303.14999999999998</v>
      </c>
      <c r="G47" s="1">
        <v>23.776599999999998</v>
      </c>
      <c r="I47" s="1">
        <v>0.58660000000000001</v>
      </c>
      <c r="J47" s="1">
        <v>323.14999999999998</v>
      </c>
      <c r="K47" s="1">
        <v>33.2866</v>
      </c>
      <c r="M47">
        <v>1.0117</v>
      </c>
      <c r="N47" s="1">
        <v>343.15</v>
      </c>
      <c r="O47">
        <v>66.850300000000004</v>
      </c>
      <c r="Q47" s="1">
        <v>1.0326</v>
      </c>
      <c r="R47" s="1">
        <v>363.15</v>
      </c>
      <c r="S47" s="1">
        <v>118.265</v>
      </c>
      <c r="U47"/>
      <c r="V47"/>
      <c r="W47"/>
    </row>
    <row r="48" spans="1:31" x14ac:dyDescent="0.3">
      <c r="A48" s="1">
        <v>0.92169999999999996</v>
      </c>
      <c r="B48" s="1">
        <v>283.14999999999998</v>
      </c>
      <c r="C48" s="1">
        <v>10.3851</v>
      </c>
      <c r="E48" s="1">
        <v>1.0111000000000001</v>
      </c>
      <c r="F48" s="1">
        <v>303.14999999999998</v>
      </c>
      <c r="G48" s="1">
        <v>24.260899999999999</v>
      </c>
      <c r="I48" s="1">
        <v>0.63360000000000005</v>
      </c>
      <c r="J48" s="1">
        <v>323.14999999999998</v>
      </c>
      <c r="K48" s="1">
        <v>33.767600000000002</v>
      </c>
      <c r="M48">
        <v>1.0289999999999999</v>
      </c>
      <c r="N48" s="1">
        <v>343.15</v>
      </c>
      <c r="O48">
        <v>68.867900000000006</v>
      </c>
      <c r="Q48" s="1">
        <v>1.0338000000000001</v>
      </c>
      <c r="R48" s="1">
        <v>363.15</v>
      </c>
      <c r="S48" s="1">
        <v>121.73560000000001</v>
      </c>
      <c r="U48"/>
      <c r="V48"/>
      <c r="W48"/>
    </row>
    <row r="49" spans="1:23" x14ac:dyDescent="0.3">
      <c r="A49" s="1">
        <v>0.94520000000000004</v>
      </c>
      <c r="B49" s="1">
        <v>283.14999999999998</v>
      </c>
      <c r="C49" s="1">
        <v>10.585599999999999</v>
      </c>
      <c r="E49" s="1">
        <v>1.0407</v>
      </c>
      <c r="F49" s="1">
        <v>303.14999999999998</v>
      </c>
      <c r="G49" s="1">
        <v>24.7653</v>
      </c>
      <c r="I49" s="1">
        <v>0.68210000000000004</v>
      </c>
      <c r="J49" s="1">
        <v>323.14999999999998</v>
      </c>
      <c r="K49" s="1">
        <v>34.255299999999998</v>
      </c>
      <c r="M49">
        <v>1.0434000000000001</v>
      </c>
      <c r="N49" s="1">
        <v>343.15</v>
      </c>
      <c r="O49">
        <v>71.0625</v>
      </c>
      <c r="Q49" s="1">
        <v>1.0389999999999999</v>
      </c>
      <c r="R49" s="1">
        <v>363.15</v>
      </c>
      <c r="S49" s="1">
        <v>124.00700000000001</v>
      </c>
      <c r="U49"/>
      <c r="V49"/>
      <c r="W49"/>
    </row>
    <row r="50" spans="1:23" x14ac:dyDescent="0.3">
      <c r="A50" s="1">
        <v>0.96899999999999997</v>
      </c>
      <c r="B50" s="1">
        <v>283.14999999999998</v>
      </c>
      <c r="C50" s="1">
        <v>10.795999999999999</v>
      </c>
      <c r="E50" s="1">
        <v>1.0679000000000001</v>
      </c>
      <c r="F50" s="1">
        <v>303.14999999999998</v>
      </c>
      <c r="G50" s="1">
        <v>25.3566</v>
      </c>
      <c r="I50" s="1">
        <v>0.73029999999999995</v>
      </c>
      <c r="J50" s="1">
        <v>323.14999999999998</v>
      </c>
      <c r="K50" s="1">
        <v>34.7697</v>
      </c>
      <c r="M50">
        <v>1.0577000000000001</v>
      </c>
      <c r="N50" s="1">
        <v>343.15</v>
      </c>
      <c r="O50">
        <v>73.270499999999998</v>
      </c>
      <c r="Q50" s="1">
        <v>1.0347999999999999</v>
      </c>
      <c r="R50" s="1">
        <v>363.15</v>
      </c>
      <c r="S50" s="1">
        <v>125.2062</v>
      </c>
      <c r="U50"/>
      <c r="V50"/>
      <c r="W50"/>
    </row>
    <row r="51" spans="1:23" x14ac:dyDescent="0.3">
      <c r="A51" s="1">
        <v>0.99099999999999999</v>
      </c>
      <c r="B51" s="1">
        <v>283.14999999999998</v>
      </c>
      <c r="C51" s="1">
        <v>11.0298</v>
      </c>
      <c r="E51" s="1">
        <v>1.0907</v>
      </c>
      <c r="F51" s="1">
        <v>303.14999999999998</v>
      </c>
      <c r="G51" s="1">
        <v>26.018000000000001</v>
      </c>
      <c r="I51" s="1">
        <v>0.77680000000000005</v>
      </c>
      <c r="J51" s="1">
        <v>323.14999999999998</v>
      </c>
      <c r="K51" s="1">
        <v>35.297400000000003</v>
      </c>
      <c r="M51">
        <v>1.0660000000000001</v>
      </c>
      <c r="N51" s="1">
        <v>343.15</v>
      </c>
      <c r="O51">
        <v>75.565299999999993</v>
      </c>
      <c r="U51"/>
      <c r="V51"/>
      <c r="W51"/>
    </row>
    <row r="52" spans="1:23" x14ac:dyDescent="0.3">
      <c r="A52" s="1">
        <v>1.0084</v>
      </c>
      <c r="B52" s="1">
        <v>283.14999999999998</v>
      </c>
      <c r="C52" s="1">
        <v>11.2536</v>
      </c>
      <c r="E52" s="1">
        <v>1.1111</v>
      </c>
      <c r="F52" s="1">
        <v>303.14999999999998</v>
      </c>
      <c r="G52" s="1">
        <v>26.689399999999999</v>
      </c>
      <c r="I52" s="1">
        <v>0.82269999999999999</v>
      </c>
      <c r="J52" s="1">
        <v>323.14999999999998</v>
      </c>
      <c r="K52" s="1">
        <v>35.8887</v>
      </c>
      <c r="M52">
        <v>1.0717000000000001</v>
      </c>
      <c r="N52" s="1">
        <v>343.15</v>
      </c>
      <c r="O52">
        <v>77.963700000000003</v>
      </c>
      <c r="U52"/>
      <c r="V52"/>
      <c r="W52"/>
    </row>
    <row r="53" spans="1:23" x14ac:dyDescent="0.3">
      <c r="A53" s="1">
        <v>1.0293000000000001</v>
      </c>
      <c r="B53" s="1">
        <v>283.14999999999998</v>
      </c>
      <c r="C53" s="1">
        <v>11.530900000000001</v>
      </c>
      <c r="E53" s="1">
        <v>1.1292</v>
      </c>
      <c r="F53" s="1">
        <v>303.14999999999998</v>
      </c>
      <c r="G53" s="1">
        <v>27.517800000000001</v>
      </c>
      <c r="I53" s="1">
        <v>0.86729999999999996</v>
      </c>
      <c r="J53" s="1">
        <v>323.14999999999998</v>
      </c>
      <c r="K53" s="1">
        <v>36.4833</v>
      </c>
      <c r="M53">
        <v>1.0737000000000001</v>
      </c>
      <c r="N53" s="1">
        <v>343.15</v>
      </c>
      <c r="O53">
        <v>80.462299999999999</v>
      </c>
      <c r="U53"/>
      <c r="V53"/>
      <c r="W53"/>
    </row>
    <row r="54" spans="1:23" x14ac:dyDescent="0.3">
      <c r="A54" s="1">
        <v>1.0483</v>
      </c>
      <c r="B54" s="1">
        <v>283.14999999999998</v>
      </c>
      <c r="C54" s="1">
        <v>11.878299999999999</v>
      </c>
      <c r="E54" s="1">
        <v>1.1426000000000001</v>
      </c>
      <c r="F54" s="1">
        <v>303.14999999999998</v>
      </c>
      <c r="G54" s="1">
        <v>28.413</v>
      </c>
      <c r="I54" s="1">
        <v>0.90910000000000002</v>
      </c>
      <c r="J54" s="1">
        <v>323.14999999999998</v>
      </c>
      <c r="K54" s="1">
        <v>37.158000000000001</v>
      </c>
      <c r="M54">
        <v>1.0766</v>
      </c>
      <c r="N54" s="1">
        <v>343.15</v>
      </c>
      <c r="O54">
        <v>82.980900000000005</v>
      </c>
      <c r="U54"/>
      <c r="V54"/>
      <c r="W54"/>
    </row>
    <row r="55" spans="1:23" x14ac:dyDescent="0.3">
      <c r="A55" s="1">
        <v>1.0638000000000001</v>
      </c>
      <c r="B55" s="1">
        <v>283.14999999999998</v>
      </c>
      <c r="C55" s="1">
        <v>12.2624</v>
      </c>
      <c r="E55" s="1">
        <v>1.1511</v>
      </c>
      <c r="F55" s="1">
        <v>303.14999999999998</v>
      </c>
      <c r="G55" s="1">
        <v>29.421800000000001</v>
      </c>
      <c r="I55" s="1">
        <v>0.94950000000000001</v>
      </c>
      <c r="J55" s="1">
        <v>323.14999999999998</v>
      </c>
      <c r="K55" s="1">
        <v>37.8962</v>
      </c>
      <c r="M55">
        <v>1.0827</v>
      </c>
      <c r="N55" s="1">
        <v>343.15</v>
      </c>
      <c r="O55">
        <v>85.539599999999993</v>
      </c>
      <c r="U55"/>
      <c r="V55"/>
      <c r="W55"/>
    </row>
    <row r="56" spans="1:23" x14ac:dyDescent="0.3">
      <c r="A56" s="1">
        <v>1.0777000000000001</v>
      </c>
      <c r="B56" s="1">
        <v>283.14999999999998</v>
      </c>
      <c r="C56" s="1">
        <v>12.7033</v>
      </c>
      <c r="E56" s="1">
        <v>1.1575</v>
      </c>
      <c r="F56" s="1">
        <v>303.14999999999998</v>
      </c>
      <c r="G56" s="1">
        <v>30.484000000000002</v>
      </c>
      <c r="I56" s="1">
        <v>0.98540000000000005</v>
      </c>
      <c r="J56" s="1">
        <v>323.14999999999998</v>
      </c>
      <c r="K56" s="1">
        <v>38.704599999999999</v>
      </c>
      <c r="M56">
        <v>1.089</v>
      </c>
      <c r="N56" s="1">
        <v>343.15</v>
      </c>
      <c r="O56">
        <v>88.1417</v>
      </c>
      <c r="U56"/>
      <c r="V56"/>
      <c r="W56"/>
    </row>
    <row r="57" spans="1:23" x14ac:dyDescent="0.3">
      <c r="A57" s="1">
        <v>1.089</v>
      </c>
      <c r="B57" s="1">
        <v>283.14999999999998</v>
      </c>
      <c r="C57" s="1">
        <v>13.2378</v>
      </c>
      <c r="E57" s="1">
        <v>1.1624000000000001</v>
      </c>
      <c r="F57" s="1">
        <v>303.14999999999998</v>
      </c>
      <c r="G57" s="1">
        <v>31.603000000000002</v>
      </c>
      <c r="I57" s="1">
        <v>1.0184</v>
      </c>
      <c r="J57" s="1">
        <v>323.14999999999998</v>
      </c>
      <c r="K57" s="1">
        <v>39.589799999999997</v>
      </c>
      <c r="M57">
        <v>1.0942000000000001</v>
      </c>
      <c r="N57" s="1">
        <v>343.15</v>
      </c>
      <c r="O57">
        <v>90.823999999999998</v>
      </c>
      <c r="U57"/>
      <c r="V57"/>
      <c r="W57"/>
    </row>
    <row r="58" spans="1:23" x14ac:dyDescent="0.3">
      <c r="A58" s="1">
        <v>1.0978000000000001</v>
      </c>
      <c r="B58" s="1">
        <v>283.14999999999998</v>
      </c>
      <c r="C58" s="1">
        <v>13.8057</v>
      </c>
      <c r="E58" s="1">
        <v>1.1674</v>
      </c>
      <c r="F58" s="1">
        <v>303.14999999999998</v>
      </c>
      <c r="G58" s="1">
        <v>32.768799999999999</v>
      </c>
      <c r="I58" s="1">
        <v>1.0475000000000001</v>
      </c>
      <c r="J58" s="1">
        <v>323.14999999999998</v>
      </c>
      <c r="K58" s="1">
        <v>40.581899999999997</v>
      </c>
      <c r="M58">
        <v>1.0943000000000001</v>
      </c>
      <c r="N58" s="1">
        <v>343.15</v>
      </c>
      <c r="O58">
        <v>93.543099999999995</v>
      </c>
      <c r="U58"/>
      <c r="V58"/>
      <c r="W58"/>
    </row>
    <row r="59" spans="1:23" x14ac:dyDescent="0.3">
      <c r="A59" s="1">
        <v>1.1044</v>
      </c>
      <c r="B59" s="1">
        <v>283.14999999999998</v>
      </c>
      <c r="C59" s="1">
        <v>14.4069</v>
      </c>
      <c r="E59" s="1">
        <v>1.1705000000000001</v>
      </c>
      <c r="F59" s="1">
        <v>303.14999999999998</v>
      </c>
      <c r="G59" s="1">
        <v>33.941299999999998</v>
      </c>
      <c r="I59" s="1">
        <v>1.0716000000000001</v>
      </c>
      <c r="J59" s="1">
        <v>323.14999999999998</v>
      </c>
      <c r="K59" s="1">
        <v>41.717599999999997</v>
      </c>
      <c r="M59">
        <v>1.0940000000000001</v>
      </c>
      <c r="N59" s="1">
        <v>343.15</v>
      </c>
      <c r="O59">
        <v>96.3155</v>
      </c>
      <c r="U59"/>
      <c r="V59"/>
      <c r="W59"/>
    </row>
    <row r="60" spans="1:23" x14ac:dyDescent="0.3">
      <c r="A60" s="1">
        <v>1.1101000000000001</v>
      </c>
      <c r="B60" s="1">
        <v>283.14999999999998</v>
      </c>
      <c r="C60" s="1">
        <v>15.0817</v>
      </c>
      <c r="E60" s="1">
        <v>1.1728000000000001</v>
      </c>
      <c r="F60" s="1">
        <v>303.14999999999998</v>
      </c>
      <c r="G60" s="1">
        <v>35.1738</v>
      </c>
      <c r="I60" s="1">
        <v>1.0891</v>
      </c>
      <c r="J60" s="1">
        <v>323.14999999999998</v>
      </c>
      <c r="K60" s="1">
        <v>43.000300000000003</v>
      </c>
      <c r="M60">
        <v>1.0940000000000001</v>
      </c>
      <c r="N60" s="1">
        <v>343.15</v>
      </c>
      <c r="O60">
        <v>99.121399999999994</v>
      </c>
      <c r="U60"/>
      <c r="V60"/>
      <c r="W60"/>
    </row>
    <row r="61" spans="1:23" x14ac:dyDescent="0.3">
      <c r="A61" s="1">
        <v>1.1173999999999999</v>
      </c>
      <c r="B61" s="1">
        <v>283.14999999999998</v>
      </c>
      <c r="C61" s="1">
        <v>16.150600000000001</v>
      </c>
      <c r="E61" s="1">
        <v>1.175</v>
      </c>
      <c r="F61" s="1">
        <v>303.14999999999998</v>
      </c>
      <c r="G61" s="1">
        <v>36.393099999999997</v>
      </c>
      <c r="I61" s="1">
        <v>1.1025</v>
      </c>
      <c r="J61" s="1">
        <v>323.14999999999998</v>
      </c>
      <c r="K61" s="1">
        <v>44.413200000000003</v>
      </c>
      <c r="M61">
        <v>1.0954999999999999</v>
      </c>
      <c r="N61" s="1">
        <v>343.15</v>
      </c>
      <c r="O61">
        <v>101.934</v>
      </c>
      <c r="U61"/>
      <c r="V61"/>
      <c r="W61"/>
    </row>
    <row r="62" spans="1:23" x14ac:dyDescent="0.3">
      <c r="A62" s="1">
        <v>1.1237999999999999</v>
      </c>
      <c r="B62" s="1">
        <v>283.14999999999998</v>
      </c>
      <c r="C62" s="1">
        <v>17.2729</v>
      </c>
      <c r="E62" s="1">
        <v>1.1782999999999999</v>
      </c>
      <c r="F62" s="1">
        <v>303.14999999999998</v>
      </c>
      <c r="G62" s="1">
        <v>37.662399999999998</v>
      </c>
      <c r="I62" s="1">
        <v>1.1137999999999999</v>
      </c>
      <c r="J62" s="1">
        <v>323.14999999999998</v>
      </c>
      <c r="K62" s="1">
        <v>45.9131</v>
      </c>
      <c r="M62">
        <v>1.1003000000000001</v>
      </c>
      <c r="N62" s="1">
        <v>343.15</v>
      </c>
      <c r="O62">
        <v>104.7867</v>
      </c>
      <c r="U62"/>
      <c r="V62"/>
      <c r="W62"/>
    </row>
    <row r="63" spans="1:23" x14ac:dyDescent="0.3">
      <c r="A63" s="1">
        <v>1.1287</v>
      </c>
      <c r="B63" s="1">
        <v>283.14999999999998</v>
      </c>
      <c r="C63" s="1">
        <v>18.435400000000001</v>
      </c>
      <c r="E63" s="1">
        <v>1.1812</v>
      </c>
      <c r="F63" s="1">
        <v>303.14999999999998</v>
      </c>
      <c r="G63" s="1">
        <v>38.928400000000003</v>
      </c>
      <c r="I63" s="1">
        <v>1.1214999999999999</v>
      </c>
      <c r="J63" s="1">
        <v>323.14999999999998</v>
      </c>
      <c r="K63" s="1">
        <v>47.463000000000001</v>
      </c>
      <c r="M63">
        <v>1.1005</v>
      </c>
      <c r="N63" s="1">
        <v>343.15</v>
      </c>
      <c r="O63">
        <v>107.6627</v>
      </c>
      <c r="U63"/>
      <c r="V63"/>
      <c r="W63"/>
    </row>
    <row r="64" spans="1:23" x14ac:dyDescent="0.3">
      <c r="A64" s="1">
        <v>1.1339999999999999</v>
      </c>
      <c r="B64" s="1">
        <v>283.14999999999998</v>
      </c>
      <c r="C64" s="1">
        <v>19.597799999999999</v>
      </c>
      <c r="E64" s="1">
        <v>1.1822999999999999</v>
      </c>
      <c r="F64" s="1">
        <v>303.14999999999998</v>
      </c>
      <c r="G64" s="1">
        <v>40.207700000000003</v>
      </c>
      <c r="I64" s="1">
        <v>1.1274</v>
      </c>
      <c r="J64" s="1">
        <v>323.14999999999998</v>
      </c>
      <c r="K64" s="1">
        <v>49.1098</v>
      </c>
      <c r="M64">
        <v>1.0981000000000001</v>
      </c>
      <c r="N64" s="1">
        <v>343.15</v>
      </c>
      <c r="O64">
        <v>110.6356</v>
      </c>
      <c r="U64"/>
      <c r="V64"/>
      <c r="W64"/>
    </row>
    <row r="65" spans="1:23" x14ac:dyDescent="0.3">
      <c r="A65" s="1">
        <v>1.1376999999999999</v>
      </c>
      <c r="B65" s="1">
        <v>283.14999999999998</v>
      </c>
      <c r="C65" s="1">
        <v>20.7636</v>
      </c>
      <c r="E65" s="1">
        <v>1.1833</v>
      </c>
      <c r="F65" s="1">
        <v>303.14999999999998</v>
      </c>
      <c r="G65" s="1">
        <v>41.530500000000004</v>
      </c>
      <c r="I65" s="1">
        <v>1.1328</v>
      </c>
      <c r="J65" s="1">
        <v>323.14999999999998</v>
      </c>
      <c r="K65" s="1">
        <v>50.736499999999999</v>
      </c>
      <c r="M65"/>
      <c r="N65"/>
      <c r="O65"/>
      <c r="U65"/>
      <c r="V65"/>
      <c r="W65"/>
    </row>
    <row r="66" spans="1:23" x14ac:dyDescent="0.3">
      <c r="A66" s="1">
        <v>1.1418999999999999</v>
      </c>
      <c r="B66" s="1">
        <v>283.14999999999998</v>
      </c>
      <c r="C66" s="1">
        <v>21.996200000000002</v>
      </c>
      <c r="E66" s="1">
        <v>1.1837</v>
      </c>
      <c r="F66" s="1">
        <v>303.14999999999998</v>
      </c>
      <c r="G66" s="1">
        <v>42.8767</v>
      </c>
      <c r="I66" s="1">
        <v>1.1351</v>
      </c>
      <c r="J66" s="1">
        <v>323.14999999999998</v>
      </c>
      <c r="K66" s="1">
        <v>52.276400000000002</v>
      </c>
      <c r="M66"/>
      <c r="N66"/>
      <c r="O66"/>
      <c r="U66"/>
      <c r="V66"/>
      <c r="W66"/>
    </row>
    <row r="67" spans="1:23" x14ac:dyDescent="0.3">
      <c r="A67" s="1">
        <v>1.1447000000000001</v>
      </c>
      <c r="B67" s="1">
        <v>283.14999999999998</v>
      </c>
      <c r="C67" s="1">
        <v>23.238800000000001</v>
      </c>
      <c r="E67" s="1">
        <v>1.1841999999999999</v>
      </c>
      <c r="F67" s="1">
        <v>303.14999999999998</v>
      </c>
      <c r="G67" s="1">
        <v>44.209499999999998</v>
      </c>
      <c r="I67" s="1">
        <v>1.1402000000000001</v>
      </c>
      <c r="J67" s="1">
        <v>323.14999999999998</v>
      </c>
      <c r="K67" s="1">
        <v>53.996699999999997</v>
      </c>
      <c r="M67"/>
      <c r="N67"/>
      <c r="O67"/>
      <c r="U67"/>
      <c r="V67"/>
      <c r="W67"/>
    </row>
    <row r="68" spans="1:23" x14ac:dyDescent="0.3">
      <c r="A68" s="1">
        <v>1.1469</v>
      </c>
      <c r="B68" s="1">
        <v>283.14999999999998</v>
      </c>
      <c r="C68" s="1">
        <v>24.498100000000001</v>
      </c>
      <c r="E68" s="1">
        <v>1.1853</v>
      </c>
      <c r="F68" s="1">
        <v>303.14999999999998</v>
      </c>
      <c r="G68" s="1">
        <v>45.5623</v>
      </c>
      <c r="I68" s="1">
        <v>1.1452</v>
      </c>
      <c r="J68" s="1">
        <v>323.14999999999998</v>
      </c>
      <c r="K68" s="1">
        <v>55.757100000000001</v>
      </c>
      <c r="M68"/>
      <c r="N68"/>
      <c r="O68"/>
      <c r="U68"/>
      <c r="V68"/>
      <c r="W68"/>
    </row>
    <row r="69" spans="1:23" x14ac:dyDescent="0.3">
      <c r="A69" s="1">
        <v>1.1488</v>
      </c>
      <c r="B69" s="1">
        <v>283.14999999999998</v>
      </c>
      <c r="C69" s="1">
        <v>25.820900000000002</v>
      </c>
      <c r="E69" s="1">
        <v>1.1876</v>
      </c>
      <c r="F69" s="1">
        <v>303.14999999999998</v>
      </c>
      <c r="G69" s="1">
        <v>46.938499999999998</v>
      </c>
      <c r="I69" s="1">
        <v>1.1472</v>
      </c>
      <c r="J69" s="1">
        <v>323.14999999999998</v>
      </c>
      <c r="K69" s="1">
        <v>57.530799999999999</v>
      </c>
      <c r="M69"/>
      <c r="N69"/>
      <c r="O69"/>
      <c r="U69"/>
      <c r="V69"/>
      <c r="W69"/>
    </row>
    <row r="70" spans="1:23" x14ac:dyDescent="0.3">
      <c r="A70" s="1">
        <v>1.1501999999999999</v>
      </c>
      <c r="B70" s="1">
        <v>283.14999999999998</v>
      </c>
      <c r="C70" s="1">
        <v>27.157</v>
      </c>
      <c r="E70" s="1">
        <v>1.1893</v>
      </c>
      <c r="F70" s="1">
        <v>303.14999999999998</v>
      </c>
      <c r="G70" s="1">
        <v>48.348199999999999</v>
      </c>
      <c r="I70" s="1">
        <v>1.1496999999999999</v>
      </c>
      <c r="J70" s="1">
        <v>323.14999999999998</v>
      </c>
      <c r="K70" s="1">
        <v>59.3446</v>
      </c>
      <c r="M70"/>
      <c r="N70"/>
      <c r="O70"/>
      <c r="U70"/>
      <c r="V70"/>
      <c r="W70"/>
    </row>
    <row r="71" spans="1:23" x14ac:dyDescent="0.3">
      <c r="A71" s="1">
        <v>1.1523000000000001</v>
      </c>
      <c r="B71" s="1">
        <v>283.14999999999998</v>
      </c>
      <c r="C71" s="1">
        <v>28.506499999999999</v>
      </c>
      <c r="E71" s="1">
        <v>1.1894</v>
      </c>
      <c r="F71" s="1">
        <v>303.14999999999998</v>
      </c>
      <c r="G71" s="1">
        <v>49.7712</v>
      </c>
      <c r="I71" s="1">
        <v>1.1515</v>
      </c>
      <c r="J71" s="1">
        <v>323.14999999999998</v>
      </c>
      <c r="K71" s="1">
        <v>61.188499999999998</v>
      </c>
      <c r="M71"/>
      <c r="N71"/>
      <c r="O71"/>
      <c r="U71"/>
      <c r="V71"/>
      <c r="W71"/>
    </row>
    <row r="72" spans="1:23" x14ac:dyDescent="0.3">
      <c r="A72" s="1">
        <v>1.1539999999999999</v>
      </c>
      <c r="B72" s="1">
        <v>283.14999999999998</v>
      </c>
      <c r="C72" s="1">
        <v>29.872699999999998</v>
      </c>
      <c r="E72" s="1">
        <v>1.1888000000000001</v>
      </c>
      <c r="F72" s="1">
        <v>303.14999999999998</v>
      </c>
      <c r="G72" s="1">
        <v>51.214199999999998</v>
      </c>
      <c r="I72" s="1">
        <v>1.1557999999999999</v>
      </c>
      <c r="J72" s="1">
        <v>323.14999999999998</v>
      </c>
      <c r="K72" s="1">
        <v>63.072400000000002</v>
      </c>
      <c r="M72"/>
      <c r="N72"/>
      <c r="O72"/>
      <c r="U72"/>
      <c r="V72"/>
      <c r="W72"/>
    </row>
    <row r="73" spans="1:23" x14ac:dyDescent="0.3">
      <c r="A73" s="1">
        <v>1.1564000000000001</v>
      </c>
      <c r="B73" s="1">
        <v>283.14999999999998</v>
      </c>
      <c r="C73" s="1">
        <v>31.2456</v>
      </c>
      <c r="I73" s="1">
        <v>1.1597999999999999</v>
      </c>
      <c r="J73" s="1">
        <v>323.14999999999998</v>
      </c>
      <c r="K73" s="1">
        <v>64.993099999999998</v>
      </c>
      <c r="M73"/>
      <c r="N73"/>
      <c r="O73"/>
      <c r="U73"/>
      <c r="V73"/>
      <c r="W73"/>
    </row>
    <row r="74" spans="1:23" x14ac:dyDescent="0.3">
      <c r="A74" s="1">
        <v>1.1572</v>
      </c>
      <c r="B74" s="1">
        <v>283.14999999999998</v>
      </c>
      <c r="C74" s="1">
        <v>32.645200000000003</v>
      </c>
      <c r="I74" s="1">
        <v>1.1634</v>
      </c>
      <c r="J74" s="1">
        <v>323.14999999999998</v>
      </c>
      <c r="K74" s="1">
        <v>66.947199999999995</v>
      </c>
      <c r="M74"/>
      <c r="N74"/>
      <c r="O74"/>
      <c r="U74"/>
      <c r="V74"/>
      <c r="W74"/>
    </row>
    <row r="75" spans="1:23" x14ac:dyDescent="0.3">
      <c r="A75" s="1">
        <v>1.1593</v>
      </c>
      <c r="B75" s="1">
        <v>283.14999999999998</v>
      </c>
      <c r="C75" s="1">
        <v>34.088200000000001</v>
      </c>
      <c r="I75" s="1">
        <v>1.167</v>
      </c>
      <c r="J75" s="1">
        <v>323.14999999999998</v>
      </c>
      <c r="K75" s="1">
        <v>68.914699999999996</v>
      </c>
      <c r="M75"/>
      <c r="N75"/>
      <c r="O75"/>
      <c r="U75"/>
      <c r="V75"/>
      <c r="W75"/>
    </row>
    <row r="76" spans="1:23" x14ac:dyDescent="0.3">
      <c r="A76" s="1">
        <v>1.1595</v>
      </c>
      <c r="B76" s="1">
        <v>283.14999999999998</v>
      </c>
      <c r="C76" s="1">
        <v>35.571300000000001</v>
      </c>
      <c r="I76" s="1">
        <v>1.1680999999999999</v>
      </c>
      <c r="J76" s="1">
        <v>323.14999999999998</v>
      </c>
      <c r="K76" s="1">
        <v>70.875500000000002</v>
      </c>
      <c r="M76"/>
      <c r="N76"/>
      <c r="O76"/>
      <c r="U76"/>
      <c r="V76"/>
      <c r="W76"/>
    </row>
    <row r="77" spans="1:23" x14ac:dyDescent="0.3">
      <c r="A77" s="1">
        <v>1.1593</v>
      </c>
      <c r="B77" s="1">
        <v>283.14999999999998</v>
      </c>
      <c r="C77" s="1">
        <v>37.064500000000002</v>
      </c>
      <c r="I77" s="1">
        <v>1.1692</v>
      </c>
      <c r="J77" s="1">
        <v>323.14999999999998</v>
      </c>
      <c r="K77" s="1">
        <v>72.846299999999999</v>
      </c>
      <c r="M77"/>
      <c r="N77"/>
      <c r="O77"/>
      <c r="U77"/>
      <c r="V77"/>
      <c r="W77"/>
    </row>
    <row r="78" spans="1:23" x14ac:dyDescent="0.3">
      <c r="A78" s="1">
        <v>1.1589</v>
      </c>
      <c r="B78" s="1">
        <v>283.14999999999998</v>
      </c>
      <c r="C78" s="1">
        <v>38.554299999999998</v>
      </c>
      <c r="I78" s="1">
        <v>1.169</v>
      </c>
      <c r="J78" s="1">
        <v>323.14999999999998</v>
      </c>
      <c r="K78" s="1">
        <v>74.903899999999993</v>
      </c>
      <c r="M78"/>
      <c r="N78"/>
      <c r="O78"/>
      <c r="U78"/>
      <c r="V78"/>
      <c r="W78"/>
    </row>
    <row r="79" spans="1:23" x14ac:dyDescent="0.3">
      <c r="I79" s="1">
        <v>1.1687000000000001</v>
      </c>
      <c r="J79" s="1">
        <v>323.14999999999998</v>
      </c>
      <c r="K79" s="1">
        <v>76.991600000000005</v>
      </c>
      <c r="M79"/>
      <c r="N79"/>
      <c r="O79"/>
      <c r="U79"/>
      <c r="V79"/>
      <c r="W79"/>
    </row>
    <row r="80" spans="1:23" x14ac:dyDescent="0.3">
      <c r="I80" s="1">
        <v>1.1681999999999999</v>
      </c>
      <c r="J80" s="1">
        <v>323.14999999999998</v>
      </c>
      <c r="K80" s="1">
        <v>79.066000000000003</v>
      </c>
      <c r="M80"/>
      <c r="N80"/>
      <c r="O80"/>
      <c r="U80"/>
      <c r="V80"/>
      <c r="W80"/>
    </row>
    <row r="81" spans="13:23" x14ac:dyDescent="0.3">
      <c r="M81"/>
      <c r="N81"/>
      <c r="O81"/>
      <c r="U81"/>
      <c r="V81"/>
      <c r="W81"/>
    </row>
    <row r="82" spans="13:23" x14ac:dyDescent="0.3">
      <c r="M82"/>
      <c r="N82"/>
      <c r="O82"/>
      <c r="U82"/>
      <c r="V82"/>
      <c r="W82"/>
    </row>
    <row r="83" spans="13:23" x14ac:dyDescent="0.3">
      <c r="M83"/>
      <c r="N83"/>
      <c r="O83"/>
      <c r="U83"/>
      <c r="V83"/>
      <c r="W83"/>
    </row>
    <row r="84" spans="13:23" x14ac:dyDescent="0.3">
      <c r="M84"/>
      <c r="N84"/>
      <c r="O84"/>
      <c r="U84"/>
      <c r="V84"/>
      <c r="W84"/>
    </row>
    <row r="85" spans="13:23" x14ac:dyDescent="0.3">
      <c r="M85"/>
      <c r="N85"/>
      <c r="O85"/>
      <c r="U85"/>
      <c r="V85"/>
      <c r="W85"/>
    </row>
    <row r="86" spans="13:23" x14ac:dyDescent="0.3">
      <c r="M86"/>
      <c r="N86"/>
      <c r="O86"/>
      <c r="U86"/>
      <c r="V86"/>
      <c r="W86"/>
    </row>
    <row r="87" spans="13:23" x14ac:dyDescent="0.3">
      <c r="M87"/>
      <c r="N87"/>
      <c r="O87"/>
      <c r="U87"/>
      <c r="V87"/>
      <c r="W87"/>
    </row>
    <row r="88" spans="13:23" x14ac:dyDescent="0.3">
      <c r="M88"/>
      <c r="N88"/>
      <c r="O88"/>
      <c r="U88"/>
      <c r="V88"/>
      <c r="W88"/>
    </row>
    <row r="89" spans="13:23" x14ac:dyDescent="0.3">
      <c r="M89"/>
      <c r="N89"/>
      <c r="O89"/>
      <c r="U89"/>
      <c r="V89"/>
      <c r="W89"/>
    </row>
    <row r="90" spans="13:23" x14ac:dyDescent="0.3">
      <c r="M90"/>
      <c r="N90"/>
      <c r="O90"/>
      <c r="U90"/>
      <c r="V90"/>
      <c r="W90"/>
    </row>
    <row r="91" spans="13:23" x14ac:dyDescent="0.3">
      <c r="M91"/>
      <c r="N91"/>
      <c r="O91"/>
      <c r="U91"/>
      <c r="V91"/>
      <c r="W91"/>
    </row>
    <row r="92" spans="13:23" x14ac:dyDescent="0.3">
      <c r="M92"/>
      <c r="N92"/>
      <c r="O92"/>
      <c r="U92"/>
      <c r="V92"/>
      <c r="W92"/>
    </row>
    <row r="93" spans="13:23" x14ac:dyDescent="0.3">
      <c r="M93"/>
      <c r="N93"/>
      <c r="O93"/>
    </row>
    <row r="94" spans="13:23" x14ac:dyDescent="0.3">
      <c r="M94"/>
      <c r="N94"/>
      <c r="O94"/>
    </row>
    <row r="95" spans="13:23" x14ac:dyDescent="0.3">
      <c r="M95"/>
      <c r="N95"/>
      <c r="O95"/>
    </row>
    <row r="96" spans="13:23" x14ac:dyDescent="0.3">
      <c r="M96"/>
      <c r="N96"/>
      <c r="O96"/>
    </row>
    <row r="97" spans="13:15" x14ac:dyDescent="0.3">
      <c r="M97"/>
      <c r="N97"/>
      <c r="O97"/>
    </row>
    <row r="98" spans="13:15" x14ac:dyDescent="0.3">
      <c r="M98"/>
      <c r="N98"/>
      <c r="O98"/>
    </row>
    <row r="99" spans="13:15" x14ac:dyDescent="0.3">
      <c r="M99"/>
      <c r="N99"/>
      <c r="O99"/>
    </row>
    <row r="100" spans="13:15" x14ac:dyDescent="0.3">
      <c r="M100"/>
      <c r="N100"/>
      <c r="O100"/>
    </row>
    <row r="101" spans="13:15" x14ac:dyDescent="0.3">
      <c r="M101"/>
      <c r="N101"/>
      <c r="O101"/>
    </row>
    <row r="102" spans="13:15" x14ac:dyDescent="0.3">
      <c r="M102"/>
      <c r="N102"/>
      <c r="O102"/>
    </row>
    <row r="103" spans="13:15" x14ac:dyDescent="0.3">
      <c r="M103"/>
      <c r="N103"/>
      <c r="O103"/>
    </row>
    <row r="104" spans="13:15" x14ac:dyDescent="0.3">
      <c r="M104"/>
      <c r="N104"/>
      <c r="O104"/>
    </row>
    <row r="105" spans="13:15" x14ac:dyDescent="0.3">
      <c r="M105"/>
      <c r="N105"/>
      <c r="O105"/>
    </row>
    <row r="106" spans="13:15" x14ac:dyDescent="0.3">
      <c r="M106"/>
      <c r="N106"/>
      <c r="O106"/>
    </row>
    <row r="107" spans="13:15" x14ac:dyDescent="0.3">
      <c r="M107"/>
      <c r="N107"/>
      <c r="O107"/>
    </row>
    <row r="108" spans="13:15" x14ac:dyDescent="0.3">
      <c r="M108"/>
      <c r="N108"/>
      <c r="O108"/>
    </row>
    <row r="109" spans="13:15" x14ac:dyDescent="0.3">
      <c r="M109"/>
      <c r="N109"/>
      <c r="O109"/>
    </row>
    <row r="110" spans="13:15" x14ac:dyDescent="0.3">
      <c r="M110"/>
      <c r="N110"/>
      <c r="O110"/>
    </row>
    <row r="111" spans="13:15" x14ac:dyDescent="0.3">
      <c r="M111"/>
      <c r="N111"/>
      <c r="O111"/>
    </row>
    <row r="112" spans="13:15" x14ac:dyDescent="0.3">
      <c r="M112"/>
      <c r="N112"/>
      <c r="O112"/>
    </row>
    <row r="113" spans="13:15" x14ac:dyDescent="0.3">
      <c r="M113"/>
      <c r="N113"/>
      <c r="O113"/>
    </row>
    <row r="114" spans="13:15" x14ac:dyDescent="0.3">
      <c r="M114"/>
      <c r="N114"/>
      <c r="O114"/>
    </row>
    <row r="115" spans="13:15" x14ac:dyDescent="0.3">
      <c r="M115"/>
      <c r="N115"/>
      <c r="O115"/>
    </row>
    <row r="116" spans="13:15" x14ac:dyDescent="0.3">
      <c r="M116"/>
      <c r="N116"/>
      <c r="O116"/>
    </row>
    <row r="117" spans="13:15" x14ac:dyDescent="0.3">
      <c r="M117"/>
      <c r="N117"/>
      <c r="O117"/>
    </row>
    <row r="118" spans="13:15" x14ac:dyDescent="0.3">
      <c r="M118"/>
      <c r="N118"/>
      <c r="O118"/>
    </row>
    <row r="119" spans="13:15" x14ac:dyDescent="0.3">
      <c r="M119"/>
      <c r="N119"/>
      <c r="O119"/>
    </row>
    <row r="120" spans="13:15" x14ac:dyDescent="0.3">
      <c r="M120"/>
      <c r="N120"/>
      <c r="O120"/>
    </row>
    <row r="121" spans="13:15" x14ac:dyDescent="0.3">
      <c r="M121"/>
      <c r="N121"/>
      <c r="O121"/>
    </row>
    <row r="122" spans="13:15" x14ac:dyDescent="0.3">
      <c r="M122"/>
      <c r="N122"/>
      <c r="O122"/>
    </row>
    <row r="123" spans="13:15" x14ac:dyDescent="0.3">
      <c r="M123"/>
      <c r="N123"/>
      <c r="O123"/>
    </row>
    <row r="124" spans="13:15" x14ac:dyDescent="0.3">
      <c r="M124"/>
      <c r="N124"/>
      <c r="O124"/>
    </row>
    <row r="125" spans="13:15" x14ac:dyDescent="0.3">
      <c r="M125"/>
      <c r="N125"/>
      <c r="O125"/>
    </row>
    <row r="126" spans="13:15" x14ac:dyDescent="0.3">
      <c r="M126"/>
      <c r="N126"/>
      <c r="O126"/>
    </row>
    <row r="127" spans="13:15" x14ac:dyDescent="0.3">
      <c r="M127"/>
      <c r="N127"/>
      <c r="O127"/>
    </row>
    <row r="128" spans="13:15" x14ac:dyDescent="0.3">
      <c r="M128"/>
      <c r="N128"/>
      <c r="O128"/>
    </row>
    <row r="129" spans="13:15" x14ac:dyDescent="0.3">
      <c r="M129"/>
      <c r="N129"/>
      <c r="O129"/>
    </row>
    <row r="130" spans="13:15" x14ac:dyDescent="0.3">
      <c r="M130"/>
      <c r="N130"/>
      <c r="O130"/>
    </row>
    <row r="131" spans="13:15" x14ac:dyDescent="0.3">
      <c r="M131"/>
      <c r="N131"/>
      <c r="O131"/>
    </row>
    <row r="132" spans="13:15" x14ac:dyDescent="0.3">
      <c r="M132"/>
      <c r="N132"/>
      <c r="O132"/>
    </row>
    <row r="133" spans="13:15" x14ac:dyDescent="0.3">
      <c r="M133"/>
      <c r="N133"/>
      <c r="O133"/>
    </row>
    <row r="134" spans="13:15" x14ac:dyDescent="0.3">
      <c r="M134"/>
      <c r="N134"/>
      <c r="O134"/>
    </row>
    <row r="135" spans="13:15" x14ac:dyDescent="0.3">
      <c r="M135"/>
      <c r="N135"/>
      <c r="O135"/>
    </row>
    <row r="136" spans="13:15" x14ac:dyDescent="0.3">
      <c r="M136"/>
      <c r="N136"/>
      <c r="O136"/>
    </row>
    <row r="137" spans="13:15" x14ac:dyDescent="0.3">
      <c r="M137"/>
      <c r="N137"/>
      <c r="O137"/>
    </row>
    <row r="138" spans="13:15" x14ac:dyDescent="0.3">
      <c r="M138"/>
      <c r="N138"/>
      <c r="O138"/>
    </row>
    <row r="139" spans="13:15" x14ac:dyDescent="0.3">
      <c r="M139"/>
      <c r="N139"/>
      <c r="O139"/>
    </row>
    <row r="140" spans="13:15" x14ac:dyDescent="0.3">
      <c r="M140"/>
      <c r="N140"/>
      <c r="O140"/>
    </row>
    <row r="141" spans="13:15" x14ac:dyDescent="0.3">
      <c r="M141"/>
      <c r="N141"/>
      <c r="O141"/>
    </row>
    <row r="142" spans="13:15" x14ac:dyDescent="0.3">
      <c r="M142"/>
      <c r="N142"/>
      <c r="O142"/>
    </row>
    <row r="143" spans="13:15" x14ac:dyDescent="0.3">
      <c r="M143"/>
      <c r="N143"/>
      <c r="O143"/>
    </row>
    <row r="144" spans="13:15" x14ac:dyDescent="0.3">
      <c r="M144"/>
      <c r="N144"/>
      <c r="O144"/>
    </row>
    <row r="145" spans="13:15" x14ac:dyDescent="0.3">
      <c r="M145"/>
      <c r="N145"/>
      <c r="O145"/>
    </row>
    <row r="146" spans="13:15" x14ac:dyDescent="0.3">
      <c r="M146"/>
      <c r="N146"/>
      <c r="O146"/>
    </row>
    <row r="147" spans="13:15" x14ac:dyDescent="0.3">
      <c r="M147"/>
      <c r="N147"/>
      <c r="O147"/>
    </row>
    <row r="148" spans="13:15" x14ac:dyDescent="0.3">
      <c r="M148"/>
      <c r="N148"/>
      <c r="O148"/>
    </row>
    <row r="149" spans="13:15" x14ac:dyDescent="0.3">
      <c r="M149"/>
      <c r="N149"/>
      <c r="O149"/>
    </row>
    <row r="150" spans="13:15" x14ac:dyDescent="0.3">
      <c r="M150"/>
      <c r="N150"/>
      <c r="O150"/>
    </row>
    <row r="151" spans="13:15" x14ac:dyDescent="0.3">
      <c r="M151"/>
      <c r="N151"/>
      <c r="O151"/>
    </row>
    <row r="152" spans="13:15" x14ac:dyDescent="0.3">
      <c r="M152"/>
      <c r="N152"/>
      <c r="O152"/>
    </row>
    <row r="153" spans="13:15" x14ac:dyDescent="0.3">
      <c r="M153"/>
      <c r="N153"/>
      <c r="O153"/>
    </row>
    <row r="154" spans="13:15" x14ac:dyDescent="0.3">
      <c r="M154"/>
      <c r="N154"/>
      <c r="O154"/>
    </row>
    <row r="155" spans="13:15" x14ac:dyDescent="0.3">
      <c r="M155"/>
      <c r="N155"/>
      <c r="O155"/>
    </row>
    <row r="156" spans="13:15" x14ac:dyDescent="0.3">
      <c r="M156"/>
      <c r="N156"/>
      <c r="O156"/>
    </row>
    <row r="157" spans="13:15" x14ac:dyDescent="0.3">
      <c r="M157"/>
      <c r="N157"/>
      <c r="O157"/>
    </row>
    <row r="158" spans="13:15" x14ac:dyDescent="0.3">
      <c r="M158"/>
      <c r="N158"/>
      <c r="O158"/>
    </row>
    <row r="159" spans="13:15" x14ac:dyDescent="0.3">
      <c r="M159"/>
      <c r="N159"/>
      <c r="O159"/>
    </row>
    <row r="160" spans="13:15" x14ac:dyDescent="0.3">
      <c r="M160"/>
      <c r="N160"/>
      <c r="O160"/>
    </row>
    <row r="161" spans="13:15" x14ac:dyDescent="0.3">
      <c r="M161"/>
      <c r="N161"/>
      <c r="O161"/>
    </row>
    <row r="162" spans="13:15" x14ac:dyDescent="0.3">
      <c r="M162"/>
      <c r="N162"/>
      <c r="O162"/>
    </row>
    <row r="163" spans="13:15" x14ac:dyDescent="0.3">
      <c r="M163"/>
      <c r="N163"/>
      <c r="O163"/>
    </row>
    <row r="164" spans="13:15" x14ac:dyDescent="0.3">
      <c r="M164"/>
      <c r="N164"/>
      <c r="O164"/>
    </row>
    <row r="165" spans="13:15" x14ac:dyDescent="0.3">
      <c r="M165"/>
      <c r="N165"/>
      <c r="O165"/>
    </row>
    <row r="166" spans="13:15" x14ac:dyDescent="0.3">
      <c r="M166"/>
      <c r="N166"/>
      <c r="O166"/>
    </row>
    <row r="167" spans="13:15" x14ac:dyDescent="0.3">
      <c r="M167"/>
      <c r="N167"/>
      <c r="O167"/>
    </row>
    <row r="168" spans="13:15" x14ac:dyDescent="0.3">
      <c r="M168"/>
      <c r="N168"/>
      <c r="O168"/>
    </row>
    <row r="169" spans="13:15" x14ac:dyDescent="0.3">
      <c r="M169"/>
      <c r="N169"/>
      <c r="O169"/>
    </row>
    <row r="170" spans="13:15" x14ac:dyDescent="0.3">
      <c r="M170"/>
      <c r="N170"/>
      <c r="O170"/>
    </row>
    <row r="171" spans="13:15" x14ac:dyDescent="0.3">
      <c r="M171"/>
      <c r="N171"/>
      <c r="O171"/>
    </row>
    <row r="172" spans="13:15" x14ac:dyDescent="0.3">
      <c r="M172"/>
      <c r="N172"/>
      <c r="O172"/>
    </row>
    <row r="173" spans="13:15" x14ac:dyDescent="0.3">
      <c r="M173"/>
      <c r="N173"/>
      <c r="O173"/>
    </row>
    <row r="174" spans="13:15" x14ac:dyDescent="0.3">
      <c r="M174"/>
      <c r="N174"/>
      <c r="O174"/>
    </row>
    <row r="175" spans="13:15" x14ac:dyDescent="0.3">
      <c r="M175"/>
      <c r="N175"/>
      <c r="O175"/>
    </row>
    <row r="176" spans="13:15" x14ac:dyDescent="0.3">
      <c r="M176"/>
      <c r="N176"/>
      <c r="O176"/>
    </row>
    <row r="177" spans="13:15" x14ac:dyDescent="0.3">
      <c r="M177"/>
      <c r="N177"/>
      <c r="O177"/>
    </row>
    <row r="178" spans="13:15" x14ac:dyDescent="0.3">
      <c r="M178"/>
      <c r="N178"/>
      <c r="O178"/>
    </row>
    <row r="179" spans="13:15" x14ac:dyDescent="0.3">
      <c r="M179"/>
      <c r="N179"/>
      <c r="O179"/>
    </row>
    <row r="180" spans="13:15" x14ac:dyDescent="0.3">
      <c r="M180"/>
      <c r="N180"/>
      <c r="O180"/>
    </row>
    <row r="181" spans="13:15" x14ac:dyDescent="0.3">
      <c r="M181"/>
      <c r="N181"/>
      <c r="O181"/>
    </row>
    <row r="182" spans="13:15" x14ac:dyDescent="0.3">
      <c r="M182"/>
      <c r="N182"/>
      <c r="O182"/>
    </row>
    <row r="183" spans="13:15" x14ac:dyDescent="0.3">
      <c r="M183"/>
      <c r="N183"/>
      <c r="O183"/>
    </row>
    <row r="184" spans="13:15" x14ac:dyDescent="0.3">
      <c r="M184"/>
      <c r="N184"/>
      <c r="O184"/>
    </row>
    <row r="185" spans="13:15" x14ac:dyDescent="0.3">
      <c r="M185"/>
      <c r="N185"/>
      <c r="O185"/>
    </row>
    <row r="186" spans="13:15" x14ac:dyDescent="0.3">
      <c r="M186"/>
      <c r="N186"/>
      <c r="O186"/>
    </row>
    <row r="187" spans="13:15" x14ac:dyDescent="0.3">
      <c r="M187"/>
      <c r="N187"/>
      <c r="O187"/>
    </row>
    <row r="188" spans="13:15" x14ac:dyDescent="0.3">
      <c r="M188"/>
      <c r="N188"/>
      <c r="O188"/>
    </row>
    <row r="189" spans="13:15" x14ac:dyDescent="0.3">
      <c r="M189"/>
      <c r="N189"/>
      <c r="O189"/>
    </row>
    <row r="190" spans="13:15" x14ac:dyDescent="0.3">
      <c r="M190"/>
      <c r="N190"/>
      <c r="O190"/>
    </row>
    <row r="191" spans="13:15" x14ac:dyDescent="0.3">
      <c r="M191"/>
      <c r="N191"/>
      <c r="O191"/>
    </row>
    <row r="192" spans="13:15" x14ac:dyDescent="0.3">
      <c r="M192"/>
      <c r="N192"/>
      <c r="O192"/>
    </row>
    <row r="193" spans="13:15" x14ac:dyDescent="0.3">
      <c r="M193"/>
      <c r="N193"/>
      <c r="O193"/>
    </row>
    <row r="194" spans="13:15" x14ac:dyDescent="0.3">
      <c r="M194"/>
      <c r="N194"/>
      <c r="O194"/>
    </row>
    <row r="195" spans="13:15" x14ac:dyDescent="0.3">
      <c r="M195"/>
      <c r="N195"/>
      <c r="O195"/>
    </row>
    <row r="196" spans="13:15" x14ac:dyDescent="0.3">
      <c r="M196"/>
      <c r="N196"/>
      <c r="O196"/>
    </row>
    <row r="197" spans="13:15" x14ac:dyDescent="0.3">
      <c r="M197"/>
      <c r="N197"/>
      <c r="O197"/>
    </row>
    <row r="198" spans="13:15" x14ac:dyDescent="0.3">
      <c r="M198"/>
      <c r="N198"/>
      <c r="O198"/>
    </row>
    <row r="199" spans="13:15" x14ac:dyDescent="0.3">
      <c r="M199"/>
      <c r="N199"/>
      <c r="O199"/>
    </row>
    <row r="200" spans="13:15" x14ac:dyDescent="0.3">
      <c r="M200"/>
      <c r="N200"/>
      <c r="O200"/>
    </row>
    <row r="201" spans="13:15" x14ac:dyDescent="0.3">
      <c r="M201"/>
      <c r="N201"/>
      <c r="O201"/>
    </row>
    <row r="202" spans="13:15" x14ac:dyDescent="0.3">
      <c r="M202"/>
      <c r="N202"/>
      <c r="O202"/>
    </row>
    <row r="203" spans="13:15" x14ac:dyDescent="0.3">
      <c r="M203"/>
      <c r="N203"/>
      <c r="O203"/>
    </row>
    <row r="204" spans="13:15" x14ac:dyDescent="0.3">
      <c r="M204"/>
      <c r="N204"/>
      <c r="O204"/>
    </row>
    <row r="205" spans="13:15" x14ac:dyDescent="0.3">
      <c r="M205"/>
      <c r="N205"/>
      <c r="O205"/>
    </row>
    <row r="206" spans="13:15" x14ac:dyDescent="0.3">
      <c r="M206"/>
      <c r="N206"/>
      <c r="O206"/>
    </row>
    <row r="207" spans="13:15" x14ac:dyDescent="0.3">
      <c r="M207"/>
      <c r="N207"/>
      <c r="O207"/>
    </row>
    <row r="208" spans="13:15" x14ac:dyDescent="0.3">
      <c r="M208"/>
      <c r="N208"/>
      <c r="O208"/>
    </row>
    <row r="209" spans="13:15" x14ac:dyDescent="0.3">
      <c r="M209"/>
      <c r="N209"/>
      <c r="O209"/>
    </row>
    <row r="210" spans="13:15" x14ac:dyDescent="0.3">
      <c r="M210"/>
      <c r="N210"/>
      <c r="O210"/>
    </row>
    <row r="211" spans="13:15" x14ac:dyDescent="0.3">
      <c r="M211"/>
      <c r="N211"/>
      <c r="O211"/>
    </row>
    <row r="212" spans="13:15" x14ac:dyDescent="0.3">
      <c r="M212"/>
      <c r="N212"/>
      <c r="O212"/>
    </row>
    <row r="213" spans="13:15" x14ac:dyDescent="0.3">
      <c r="M213"/>
      <c r="N213"/>
      <c r="O213"/>
    </row>
    <row r="214" spans="13:15" x14ac:dyDescent="0.3">
      <c r="M214"/>
      <c r="N214"/>
      <c r="O214"/>
    </row>
    <row r="215" spans="13:15" x14ac:dyDescent="0.3">
      <c r="M215"/>
      <c r="N215"/>
      <c r="O215"/>
    </row>
    <row r="216" spans="13:15" x14ac:dyDescent="0.3">
      <c r="M216"/>
      <c r="N216"/>
      <c r="O216"/>
    </row>
    <row r="217" spans="13:15" x14ac:dyDescent="0.3">
      <c r="M217"/>
      <c r="N217"/>
      <c r="O217"/>
    </row>
    <row r="218" spans="13:15" x14ac:dyDescent="0.3">
      <c r="M218"/>
      <c r="N218"/>
      <c r="O218"/>
    </row>
    <row r="219" spans="13:15" x14ac:dyDescent="0.3">
      <c r="M219"/>
      <c r="N219"/>
      <c r="O219"/>
    </row>
    <row r="220" spans="13:15" x14ac:dyDescent="0.3">
      <c r="M220"/>
      <c r="N220"/>
      <c r="O220"/>
    </row>
    <row r="221" spans="13:15" x14ac:dyDescent="0.3">
      <c r="M221"/>
      <c r="N221"/>
      <c r="O221"/>
    </row>
    <row r="222" spans="13:15" x14ac:dyDescent="0.3">
      <c r="M222"/>
      <c r="N222"/>
      <c r="O222"/>
    </row>
    <row r="223" spans="13:15" x14ac:dyDescent="0.3">
      <c r="M223"/>
      <c r="N223"/>
      <c r="O223"/>
    </row>
    <row r="224" spans="13:15" x14ac:dyDescent="0.3">
      <c r="M224"/>
      <c r="N224"/>
      <c r="O224"/>
    </row>
    <row r="225" spans="13:15" x14ac:dyDescent="0.3">
      <c r="M225"/>
      <c r="N225"/>
      <c r="O225"/>
    </row>
    <row r="226" spans="13:15" x14ac:dyDescent="0.3">
      <c r="M226"/>
      <c r="N226"/>
      <c r="O226"/>
    </row>
    <row r="227" spans="13:15" x14ac:dyDescent="0.3">
      <c r="M227"/>
      <c r="N227"/>
      <c r="O227"/>
    </row>
    <row r="228" spans="13:15" x14ac:dyDescent="0.3">
      <c r="M228"/>
      <c r="N228"/>
      <c r="O228"/>
    </row>
    <row r="229" spans="13:15" x14ac:dyDescent="0.3">
      <c r="M229"/>
      <c r="N229"/>
      <c r="O229"/>
    </row>
    <row r="230" spans="13:15" x14ac:dyDescent="0.3">
      <c r="M230"/>
      <c r="N230"/>
      <c r="O230"/>
    </row>
    <row r="231" spans="13:15" x14ac:dyDescent="0.3">
      <c r="M231"/>
      <c r="N231"/>
      <c r="O231"/>
    </row>
    <row r="232" spans="13:15" x14ac:dyDescent="0.3">
      <c r="M232"/>
      <c r="N232"/>
      <c r="O232"/>
    </row>
    <row r="233" spans="13:15" x14ac:dyDescent="0.3">
      <c r="M233"/>
      <c r="N233"/>
      <c r="O233"/>
    </row>
    <row r="234" spans="13:15" x14ac:dyDescent="0.3">
      <c r="M234"/>
      <c r="N234"/>
      <c r="O234"/>
    </row>
    <row r="235" spans="13:15" x14ac:dyDescent="0.3">
      <c r="M235"/>
      <c r="N235"/>
      <c r="O235"/>
    </row>
    <row r="236" spans="13:15" x14ac:dyDescent="0.3">
      <c r="M236"/>
      <c r="N236"/>
      <c r="O236"/>
    </row>
    <row r="237" spans="13:15" x14ac:dyDescent="0.3">
      <c r="M237"/>
      <c r="N237"/>
      <c r="O237"/>
    </row>
    <row r="238" spans="13:15" x14ac:dyDescent="0.3">
      <c r="M238"/>
      <c r="N238"/>
      <c r="O238"/>
    </row>
    <row r="239" spans="13:15" x14ac:dyDescent="0.3">
      <c r="M239"/>
      <c r="N239"/>
      <c r="O239"/>
    </row>
    <row r="240" spans="13:15" x14ac:dyDescent="0.3">
      <c r="M240"/>
      <c r="N240"/>
      <c r="O240"/>
    </row>
    <row r="241" spans="13:15" x14ac:dyDescent="0.3">
      <c r="M241"/>
      <c r="N241"/>
      <c r="O241"/>
    </row>
    <row r="242" spans="13:15" x14ac:dyDescent="0.3">
      <c r="M242"/>
      <c r="N242"/>
      <c r="O242"/>
    </row>
    <row r="243" spans="13:15" x14ac:dyDescent="0.3">
      <c r="M243"/>
      <c r="N243"/>
      <c r="O243"/>
    </row>
    <row r="244" spans="13:15" x14ac:dyDescent="0.3">
      <c r="M244"/>
      <c r="N244"/>
      <c r="O244"/>
    </row>
    <row r="245" spans="13:15" x14ac:dyDescent="0.3">
      <c r="M245"/>
      <c r="N245"/>
      <c r="O245"/>
    </row>
    <row r="246" spans="13:15" x14ac:dyDescent="0.3">
      <c r="M246"/>
      <c r="N246"/>
      <c r="O246"/>
    </row>
    <row r="247" spans="13:15" x14ac:dyDescent="0.3">
      <c r="M247"/>
      <c r="N247"/>
      <c r="O247"/>
    </row>
    <row r="248" spans="13:15" x14ac:dyDescent="0.3">
      <c r="M248"/>
      <c r="N248"/>
      <c r="O248"/>
    </row>
    <row r="249" spans="13:15" x14ac:dyDescent="0.3">
      <c r="M249"/>
      <c r="N249"/>
      <c r="O249"/>
    </row>
    <row r="250" spans="13:15" x14ac:dyDescent="0.3">
      <c r="M250"/>
      <c r="N250"/>
      <c r="O250"/>
    </row>
    <row r="251" spans="13:15" x14ac:dyDescent="0.3">
      <c r="M251"/>
      <c r="N251"/>
      <c r="O251"/>
    </row>
    <row r="252" spans="13:15" x14ac:dyDescent="0.3">
      <c r="M252"/>
      <c r="N252"/>
      <c r="O252"/>
    </row>
    <row r="253" spans="13:15" x14ac:dyDescent="0.3">
      <c r="M253"/>
      <c r="N253"/>
      <c r="O253"/>
    </row>
    <row r="254" spans="13:15" x14ac:dyDescent="0.3">
      <c r="M254"/>
      <c r="N254"/>
      <c r="O254"/>
    </row>
    <row r="255" spans="13:15" x14ac:dyDescent="0.3">
      <c r="M255"/>
      <c r="N255"/>
      <c r="O255"/>
    </row>
    <row r="256" spans="13:15" x14ac:dyDescent="0.3">
      <c r="M256"/>
      <c r="N256"/>
      <c r="O256"/>
    </row>
    <row r="257" spans="13:15" x14ac:dyDescent="0.3">
      <c r="M257"/>
      <c r="N257"/>
      <c r="O257"/>
    </row>
    <row r="258" spans="13:15" x14ac:dyDescent="0.3">
      <c r="M258"/>
      <c r="N258"/>
      <c r="O258"/>
    </row>
    <row r="259" spans="13:15" x14ac:dyDescent="0.3">
      <c r="M259"/>
      <c r="N259"/>
      <c r="O259"/>
    </row>
    <row r="260" spans="13:15" x14ac:dyDescent="0.3">
      <c r="M260"/>
      <c r="N260"/>
      <c r="O260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869A-7905-4857-B991-2ACC8C17615C}">
  <dimension ref="A1:AE82"/>
  <sheetViews>
    <sheetView workbookViewId="0"/>
  </sheetViews>
  <sheetFormatPr baseColWidth="10" defaultRowHeight="14.4" x14ac:dyDescent="0.3"/>
  <cols>
    <col min="1" max="1" width="17.88671875" style="1" customWidth="1"/>
    <col min="2" max="2" width="13.77734375" style="1" customWidth="1"/>
    <col min="3" max="3" width="11.5546875" style="1"/>
    <col min="4" max="4" width="9.44140625" style="1" customWidth="1"/>
    <col min="5" max="5" width="15.77734375" style="1" bestFit="1" customWidth="1"/>
    <col min="6" max="7" width="11.5546875" style="1"/>
    <col min="8" max="8" width="9.44140625" style="1" customWidth="1"/>
    <col min="9" max="9" width="15.77734375" style="1" bestFit="1" customWidth="1"/>
    <col min="10" max="12" width="11.5546875" style="1"/>
    <col min="13" max="13" width="15.77734375" style="1" bestFit="1" customWidth="1"/>
    <col min="14" max="16384" width="11.5546875" style="1"/>
  </cols>
  <sheetData>
    <row r="1" spans="1:31" s="4" customFormat="1" x14ac:dyDescent="0.3">
      <c r="A1" s="3" t="s">
        <v>6</v>
      </c>
      <c r="B1" s="3"/>
      <c r="C1" s="3"/>
    </row>
    <row r="2" spans="1:31" x14ac:dyDescent="0.3">
      <c r="A2" s="2" t="s">
        <v>1</v>
      </c>
      <c r="B2" s="2" t="s">
        <v>2</v>
      </c>
      <c r="C2" s="2" t="s">
        <v>3</v>
      </c>
      <c r="E2" s="2" t="s">
        <v>1</v>
      </c>
      <c r="F2" s="2" t="s">
        <v>2</v>
      </c>
      <c r="G2" s="2" t="s">
        <v>3</v>
      </c>
      <c r="I2" s="2" t="s">
        <v>1</v>
      </c>
      <c r="J2" s="2" t="s">
        <v>2</v>
      </c>
      <c r="K2" s="2" t="s">
        <v>3</v>
      </c>
      <c r="M2" s="2" t="s">
        <v>1</v>
      </c>
      <c r="N2" s="2" t="s">
        <v>2</v>
      </c>
      <c r="O2" s="2" t="s">
        <v>3</v>
      </c>
      <c r="Q2" s="2" t="s">
        <v>1</v>
      </c>
      <c r="R2" s="2" t="s">
        <v>2</v>
      </c>
      <c r="S2" s="2" t="s">
        <v>3</v>
      </c>
      <c r="U2" s="2"/>
      <c r="V2" s="2"/>
      <c r="W2" s="2"/>
      <c r="Y2" s="2"/>
      <c r="Z2" s="2"/>
      <c r="AA2" s="2"/>
      <c r="AC2" s="2"/>
      <c r="AD2" s="2"/>
      <c r="AE2" s="2"/>
    </row>
    <row r="3" spans="1:31" x14ac:dyDescent="0.3">
      <c r="A3" s="2" t="s">
        <v>0</v>
      </c>
      <c r="B3" s="2" t="s">
        <v>4</v>
      </c>
      <c r="C3" s="2" t="s">
        <v>5</v>
      </c>
      <c r="E3" s="2" t="s">
        <v>0</v>
      </c>
      <c r="F3" s="2" t="s">
        <v>4</v>
      </c>
      <c r="G3" s="2" t="s">
        <v>5</v>
      </c>
      <c r="I3" s="2" t="s">
        <v>0</v>
      </c>
      <c r="J3" s="2" t="s">
        <v>4</v>
      </c>
      <c r="K3" s="2" t="s">
        <v>5</v>
      </c>
      <c r="M3" s="2" t="s">
        <v>0</v>
      </c>
      <c r="N3" s="2" t="s">
        <v>4</v>
      </c>
      <c r="O3" s="2" t="s">
        <v>5</v>
      </c>
      <c r="Q3" s="2" t="s">
        <v>0</v>
      </c>
      <c r="R3" s="2" t="s">
        <v>4</v>
      </c>
      <c r="S3" s="2" t="s">
        <v>5</v>
      </c>
      <c r="U3" s="2"/>
      <c r="V3" s="2"/>
      <c r="W3" s="2"/>
      <c r="Y3" s="2"/>
      <c r="Z3" s="2"/>
      <c r="AA3" s="2"/>
      <c r="AC3" s="2"/>
      <c r="AD3" s="2"/>
      <c r="AE3" s="2"/>
    </row>
    <row r="4" spans="1:31" x14ac:dyDescent="0.3">
      <c r="A4" s="1">
        <v>1.1599999999999999</v>
      </c>
      <c r="B4" s="1">
        <v>283.14999999999998</v>
      </c>
      <c r="C4" s="1">
        <v>39.100099999999998</v>
      </c>
      <c r="E4" s="1">
        <v>1.1888000000000001</v>
      </c>
      <c r="F4" s="1">
        <v>303.14999999999998</v>
      </c>
      <c r="G4" s="1">
        <v>50.6873</v>
      </c>
      <c r="I4" s="1">
        <v>1.1681999999999999</v>
      </c>
      <c r="J4" s="1">
        <v>323.14999999999998</v>
      </c>
      <c r="K4" s="1">
        <v>76.391300000000001</v>
      </c>
      <c r="M4" s="1">
        <v>1.1068</v>
      </c>
      <c r="N4" s="1">
        <v>343.15</v>
      </c>
      <c r="O4" s="1">
        <v>109.34050000000001</v>
      </c>
      <c r="Q4" s="1">
        <v>1.0367</v>
      </c>
      <c r="R4" s="1">
        <v>363.15</v>
      </c>
      <c r="S4" s="1">
        <v>124.8094</v>
      </c>
    </row>
    <row r="5" spans="1:31" x14ac:dyDescent="0.3">
      <c r="A5" s="1">
        <v>1.1605000000000001</v>
      </c>
      <c r="B5" s="1">
        <v>283.14999999999998</v>
      </c>
      <c r="C5" s="1">
        <v>37.807400000000001</v>
      </c>
      <c r="E5" s="1">
        <v>1.1875</v>
      </c>
      <c r="F5" s="1">
        <v>303.14999999999998</v>
      </c>
      <c r="G5" s="1">
        <v>50.005899999999997</v>
      </c>
      <c r="I5" s="1">
        <v>1.1659999999999999</v>
      </c>
      <c r="J5" s="1">
        <v>323.14999999999998</v>
      </c>
      <c r="K5" s="1">
        <v>75.305700000000002</v>
      </c>
      <c r="M5" s="1">
        <v>1.1049</v>
      </c>
      <c r="N5" s="1">
        <v>343.15</v>
      </c>
      <c r="O5" s="1">
        <v>108.15470000000001</v>
      </c>
      <c r="Q5" s="1">
        <v>1.0361</v>
      </c>
      <c r="R5" s="1">
        <v>363.15</v>
      </c>
      <c r="S5" s="1">
        <v>121.2653</v>
      </c>
    </row>
    <row r="6" spans="1:31" x14ac:dyDescent="0.3">
      <c r="A6" s="1">
        <v>1.1606000000000001</v>
      </c>
      <c r="B6" s="1">
        <v>283.14999999999998</v>
      </c>
      <c r="C6" s="1">
        <v>36.491300000000003</v>
      </c>
      <c r="E6" s="1">
        <v>1.1881999999999999</v>
      </c>
      <c r="F6" s="1">
        <v>303.14999999999998</v>
      </c>
      <c r="G6" s="1">
        <v>48.987099999999998</v>
      </c>
      <c r="I6" s="1">
        <v>1.1639999999999999</v>
      </c>
      <c r="J6" s="1">
        <v>323.14999999999998</v>
      </c>
      <c r="K6" s="1">
        <v>74.186700000000002</v>
      </c>
      <c r="M6" s="1">
        <v>1.1031</v>
      </c>
      <c r="N6" s="1">
        <v>343.15</v>
      </c>
      <c r="O6" s="1">
        <v>106.9555</v>
      </c>
      <c r="Q6" s="1">
        <v>1.0347999999999999</v>
      </c>
      <c r="R6" s="1">
        <v>363.15</v>
      </c>
      <c r="S6" s="1">
        <v>117.621</v>
      </c>
    </row>
    <row r="7" spans="1:31" x14ac:dyDescent="0.3">
      <c r="A7" s="1">
        <v>1.1612</v>
      </c>
      <c r="B7" s="1">
        <v>283.14999999999998</v>
      </c>
      <c r="C7" s="1">
        <v>35.171799999999998</v>
      </c>
      <c r="E7" s="1">
        <v>1.1874</v>
      </c>
      <c r="F7" s="1">
        <v>303.14999999999998</v>
      </c>
      <c r="G7" s="1">
        <v>48.185400000000001</v>
      </c>
      <c r="I7" s="1">
        <v>1.1618999999999999</v>
      </c>
      <c r="J7" s="1">
        <v>323.14999999999998</v>
      </c>
      <c r="K7" s="1">
        <v>73.020899999999997</v>
      </c>
      <c r="M7" s="1">
        <v>1.1009</v>
      </c>
      <c r="N7" s="1">
        <v>343.15</v>
      </c>
      <c r="O7" s="1">
        <v>105.7496</v>
      </c>
      <c r="Q7" s="1">
        <v>1.0318000000000001</v>
      </c>
      <c r="R7" s="1">
        <v>363.15</v>
      </c>
      <c r="S7" s="1">
        <v>113.8631</v>
      </c>
    </row>
    <row r="8" spans="1:31" x14ac:dyDescent="0.3">
      <c r="A8" s="1">
        <v>1.1617</v>
      </c>
      <c r="B8" s="1">
        <v>283.14999999999998</v>
      </c>
      <c r="C8" s="1">
        <v>33.758899999999997</v>
      </c>
      <c r="E8" s="1">
        <v>1.1879</v>
      </c>
      <c r="F8" s="1">
        <v>303.14999999999998</v>
      </c>
      <c r="G8" s="1">
        <v>47.226700000000001</v>
      </c>
      <c r="I8" s="1">
        <v>1.1597999999999999</v>
      </c>
      <c r="J8" s="1">
        <v>323.14999999999998</v>
      </c>
      <c r="K8" s="1">
        <v>71.891900000000007</v>
      </c>
      <c r="M8" s="1">
        <v>1.0971</v>
      </c>
      <c r="N8" s="1">
        <v>343.15</v>
      </c>
      <c r="O8" s="1">
        <v>104.5805</v>
      </c>
      <c r="Q8" s="1">
        <v>1.0278</v>
      </c>
      <c r="R8" s="1">
        <v>363.15</v>
      </c>
      <c r="S8" s="1">
        <v>110.97709999999999</v>
      </c>
    </row>
    <row r="9" spans="1:31" x14ac:dyDescent="0.3">
      <c r="A9" s="1">
        <v>1.1607000000000001</v>
      </c>
      <c r="B9" s="1">
        <v>283.14999999999998</v>
      </c>
      <c r="C9" s="1">
        <v>32.482900000000001</v>
      </c>
      <c r="E9" s="1">
        <v>1.1873</v>
      </c>
      <c r="F9" s="1">
        <v>303.14999999999998</v>
      </c>
      <c r="G9" s="1">
        <v>46.224600000000002</v>
      </c>
      <c r="I9" s="1">
        <v>1.1604000000000001</v>
      </c>
      <c r="J9" s="1">
        <v>323.14999999999998</v>
      </c>
      <c r="K9" s="1">
        <v>70.722700000000003</v>
      </c>
      <c r="M9" s="1">
        <v>1.0987</v>
      </c>
      <c r="N9" s="1">
        <v>343.15</v>
      </c>
      <c r="O9" s="1">
        <v>103.3746</v>
      </c>
      <c r="Q9" s="1">
        <v>1.0244</v>
      </c>
      <c r="R9" s="1">
        <v>363.15</v>
      </c>
      <c r="S9" s="1">
        <v>108.09099999999999</v>
      </c>
    </row>
    <row r="10" spans="1:31" x14ac:dyDescent="0.3">
      <c r="A10" s="1">
        <v>1.1597999999999999</v>
      </c>
      <c r="B10" s="1">
        <v>283.14999999999998</v>
      </c>
      <c r="C10" s="1">
        <v>31.0198</v>
      </c>
      <c r="E10" s="1">
        <v>1.1865000000000001</v>
      </c>
      <c r="F10" s="1">
        <v>303.14999999999998</v>
      </c>
      <c r="G10" s="1">
        <v>45.245899999999999</v>
      </c>
      <c r="I10" s="1">
        <v>1.1607000000000001</v>
      </c>
      <c r="J10" s="1">
        <v>323.14999999999998</v>
      </c>
      <c r="K10" s="1">
        <v>69.483500000000006</v>
      </c>
      <c r="M10" s="1">
        <v>1.0960000000000001</v>
      </c>
      <c r="N10" s="1">
        <v>343.15</v>
      </c>
      <c r="O10" s="1">
        <v>102.1888</v>
      </c>
      <c r="Q10" s="1">
        <v>1.0190999999999999</v>
      </c>
      <c r="R10" s="1">
        <v>363.15</v>
      </c>
      <c r="S10" s="1">
        <v>105.1181</v>
      </c>
    </row>
    <row r="11" spans="1:31" x14ac:dyDescent="0.3">
      <c r="A11" s="1">
        <v>1.1600999999999999</v>
      </c>
      <c r="B11" s="1">
        <v>283.14999999999998</v>
      </c>
      <c r="C11" s="1">
        <v>29.690300000000001</v>
      </c>
      <c r="E11" s="1">
        <v>1.1871</v>
      </c>
      <c r="F11" s="1">
        <v>303.14999999999998</v>
      </c>
      <c r="G11" s="1">
        <v>44.394100000000002</v>
      </c>
      <c r="I11" s="1">
        <v>1.1612</v>
      </c>
      <c r="J11" s="1">
        <v>323.14999999999998</v>
      </c>
      <c r="K11" s="1">
        <v>68.210800000000006</v>
      </c>
      <c r="M11" s="1">
        <v>1.0920000000000001</v>
      </c>
      <c r="N11" s="1">
        <v>343.15</v>
      </c>
      <c r="O11" s="1">
        <v>100.9629</v>
      </c>
      <c r="Q11" s="1">
        <v>1.014</v>
      </c>
      <c r="R11" s="1">
        <v>363.15</v>
      </c>
      <c r="S11" s="1">
        <v>102.202</v>
      </c>
    </row>
    <row r="12" spans="1:31" x14ac:dyDescent="0.3">
      <c r="A12" s="1">
        <v>1.1599999999999999</v>
      </c>
      <c r="B12" s="1">
        <v>283.14999999999998</v>
      </c>
      <c r="C12" s="1">
        <v>28.357500000000002</v>
      </c>
      <c r="E12" s="1">
        <v>1.1857</v>
      </c>
      <c r="F12" s="1">
        <v>303.14999999999998</v>
      </c>
      <c r="G12" s="1">
        <v>43.428800000000003</v>
      </c>
      <c r="I12" s="1">
        <v>1.1585000000000001</v>
      </c>
      <c r="J12" s="1">
        <v>323.14999999999998</v>
      </c>
      <c r="K12" s="1">
        <v>66.991600000000005</v>
      </c>
      <c r="M12" s="1">
        <v>1.0885</v>
      </c>
      <c r="N12" s="1">
        <v>343.15</v>
      </c>
      <c r="O12" s="1">
        <v>99.760400000000004</v>
      </c>
      <c r="Q12" s="1">
        <v>1.0089999999999999</v>
      </c>
      <c r="R12" s="1">
        <v>363.15</v>
      </c>
      <c r="S12" s="1">
        <v>99.218999999999994</v>
      </c>
    </row>
    <row r="13" spans="1:31" x14ac:dyDescent="0.3">
      <c r="A13" s="1">
        <v>1.159</v>
      </c>
      <c r="B13" s="1">
        <v>283.14999999999998</v>
      </c>
      <c r="C13" s="1">
        <v>27.0047</v>
      </c>
      <c r="E13" s="1">
        <v>1.1860999999999999</v>
      </c>
      <c r="F13" s="1">
        <v>303.14999999999998</v>
      </c>
      <c r="G13" s="1">
        <v>42.543599999999998</v>
      </c>
      <c r="I13" s="1">
        <v>1.1560999999999999</v>
      </c>
      <c r="J13" s="1">
        <v>323.14999999999998</v>
      </c>
      <c r="K13" s="1">
        <v>65.545199999999994</v>
      </c>
      <c r="M13" s="1">
        <v>1.0865</v>
      </c>
      <c r="N13" s="1">
        <v>343.15</v>
      </c>
      <c r="O13" s="1">
        <v>98.477699999999999</v>
      </c>
      <c r="Q13" s="1">
        <v>1.0031000000000001</v>
      </c>
      <c r="R13" s="1">
        <v>363.15</v>
      </c>
      <c r="S13" s="1">
        <v>96.089100000000002</v>
      </c>
    </row>
    <row r="14" spans="1:31" x14ac:dyDescent="0.3">
      <c r="A14" s="1">
        <v>1.1577999999999999</v>
      </c>
      <c r="B14" s="1">
        <v>283.14999999999998</v>
      </c>
      <c r="C14" s="1">
        <v>25.474799999999998</v>
      </c>
      <c r="E14" s="1">
        <v>1.1843999999999999</v>
      </c>
      <c r="F14" s="1">
        <v>303.14999999999998</v>
      </c>
      <c r="G14" s="1">
        <v>41.6417</v>
      </c>
      <c r="I14" s="1">
        <v>1.1537999999999999</v>
      </c>
      <c r="J14" s="1">
        <v>323.14999999999998</v>
      </c>
      <c r="K14" s="1">
        <v>64.155600000000007</v>
      </c>
      <c r="M14" s="1">
        <v>1.0880000000000001</v>
      </c>
      <c r="N14" s="1">
        <v>343.15</v>
      </c>
      <c r="O14" s="1">
        <v>97.204999999999998</v>
      </c>
      <c r="Q14" s="1">
        <v>0.99939999999999996</v>
      </c>
      <c r="R14" s="1">
        <v>363.15</v>
      </c>
      <c r="S14" s="1">
        <v>92.975899999999996</v>
      </c>
    </row>
    <row r="15" spans="1:31" x14ac:dyDescent="0.3">
      <c r="A15" s="1">
        <v>1.1567000000000001</v>
      </c>
      <c r="B15" s="1">
        <v>283.14999999999998</v>
      </c>
      <c r="C15" s="1">
        <v>23.958300000000001</v>
      </c>
      <c r="E15" s="1">
        <v>1.1828000000000001</v>
      </c>
      <c r="F15" s="1">
        <v>303.14999999999998</v>
      </c>
      <c r="G15" s="1">
        <v>40.739800000000002</v>
      </c>
      <c r="I15" s="1">
        <v>1.1516</v>
      </c>
      <c r="J15" s="1">
        <v>323.14999999999998</v>
      </c>
      <c r="K15" s="1">
        <v>62.782699999999998</v>
      </c>
      <c r="M15" s="1">
        <v>1.0855999999999999</v>
      </c>
      <c r="N15" s="1">
        <v>343.15</v>
      </c>
      <c r="O15" s="1">
        <v>95.929000000000002</v>
      </c>
      <c r="Q15" s="1">
        <v>0.99490000000000001</v>
      </c>
      <c r="R15" s="1">
        <v>363.15</v>
      </c>
      <c r="S15" s="1">
        <v>89.876099999999994</v>
      </c>
    </row>
    <row r="16" spans="1:31" x14ac:dyDescent="0.3">
      <c r="A16" s="1">
        <v>1.1554</v>
      </c>
      <c r="B16" s="1">
        <v>283.14999999999998</v>
      </c>
      <c r="C16" s="1">
        <v>22.455200000000001</v>
      </c>
      <c r="E16" s="1">
        <v>1.1829000000000001</v>
      </c>
      <c r="F16" s="1">
        <v>303.14999999999998</v>
      </c>
      <c r="G16" s="1">
        <v>39.797800000000002</v>
      </c>
      <c r="I16" s="1">
        <v>1.1489</v>
      </c>
      <c r="J16" s="1">
        <v>323.14999999999998</v>
      </c>
      <c r="K16" s="1">
        <v>61.343000000000004</v>
      </c>
      <c r="M16" s="1">
        <v>1.0853999999999999</v>
      </c>
      <c r="N16" s="1">
        <v>343.15</v>
      </c>
      <c r="O16" s="1">
        <v>94.509299999999996</v>
      </c>
      <c r="Q16" s="1">
        <v>0.9889</v>
      </c>
      <c r="R16" s="1">
        <v>363.15</v>
      </c>
      <c r="S16" s="1">
        <v>86.776200000000003</v>
      </c>
    </row>
    <row r="17" spans="1:19" x14ac:dyDescent="0.3">
      <c r="A17" s="1">
        <v>1.1523000000000001</v>
      </c>
      <c r="B17" s="1">
        <v>283.14999999999998</v>
      </c>
      <c r="C17" s="1">
        <v>20.825099999999999</v>
      </c>
      <c r="E17" s="1">
        <v>1.1816</v>
      </c>
      <c r="F17" s="1">
        <v>303.14999999999998</v>
      </c>
      <c r="G17" s="1">
        <v>38.852499999999999</v>
      </c>
      <c r="I17" s="1">
        <v>1.1488</v>
      </c>
      <c r="J17" s="1">
        <v>323.14999999999998</v>
      </c>
      <c r="K17" s="1">
        <v>59.896700000000003</v>
      </c>
      <c r="M17" s="1">
        <v>1.0841000000000001</v>
      </c>
      <c r="N17" s="1">
        <v>343.15</v>
      </c>
      <c r="O17" s="1">
        <v>93.119799999999998</v>
      </c>
      <c r="Q17" s="1">
        <v>0.98350000000000004</v>
      </c>
      <c r="R17" s="1">
        <v>363.15</v>
      </c>
      <c r="S17" s="1">
        <v>83.666399999999996</v>
      </c>
    </row>
    <row r="18" spans="1:19" x14ac:dyDescent="0.3">
      <c r="A18" s="1">
        <v>1.1488</v>
      </c>
      <c r="B18" s="1">
        <v>283.14999999999998</v>
      </c>
      <c r="C18" s="1">
        <v>19.3186</v>
      </c>
      <c r="E18" s="1">
        <v>1.1805000000000001</v>
      </c>
      <c r="F18" s="1">
        <v>303.14999999999998</v>
      </c>
      <c r="G18" s="1">
        <v>37.923900000000003</v>
      </c>
      <c r="I18" s="1">
        <v>1.1482000000000001</v>
      </c>
      <c r="J18" s="1">
        <v>323.14999999999998</v>
      </c>
      <c r="K18" s="1">
        <v>58.493699999999997</v>
      </c>
      <c r="M18" s="1">
        <v>1.0831</v>
      </c>
      <c r="N18" s="1">
        <v>343.15</v>
      </c>
      <c r="O18" s="1">
        <v>91.683400000000006</v>
      </c>
      <c r="Q18" s="1">
        <v>0.97550000000000003</v>
      </c>
      <c r="R18" s="1">
        <v>363.15</v>
      </c>
      <c r="S18" s="1">
        <v>80.472999999999999</v>
      </c>
    </row>
    <row r="19" spans="1:19" x14ac:dyDescent="0.3">
      <c r="A19" s="1">
        <v>1.1455</v>
      </c>
      <c r="B19" s="1">
        <v>283.14999999999998</v>
      </c>
      <c r="C19" s="1">
        <v>17.8355</v>
      </c>
      <c r="E19" s="1">
        <v>1.1807000000000001</v>
      </c>
      <c r="F19" s="1">
        <v>303.14999999999998</v>
      </c>
      <c r="G19" s="1">
        <v>36.871699999999997</v>
      </c>
      <c r="I19" s="1">
        <v>1.1459999999999999</v>
      </c>
      <c r="J19" s="1">
        <v>323.14999999999998</v>
      </c>
      <c r="K19" s="1">
        <v>57.067399999999999</v>
      </c>
      <c r="M19" s="1">
        <v>1.08</v>
      </c>
      <c r="N19" s="1">
        <v>343.15</v>
      </c>
      <c r="O19" s="1">
        <v>90.3339</v>
      </c>
      <c r="Q19" s="1">
        <v>0.96930000000000005</v>
      </c>
      <c r="R19" s="1">
        <v>363.15</v>
      </c>
      <c r="S19" s="1">
        <v>77.252899999999997</v>
      </c>
    </row>
    <row r="20" spans="1:19" x14ac:dyDescent="0.3">
      <c r="A20" s="1">
        <v>1.1406000000000001</v>
      </c>
      <c r="B20" s="1">
        <v>283.14999999999998</v>
      </c>
      <c r="C20" s="1">
        <v>16.3523</v>
      </c>
      <c r="E20" s="1">
        <v>1.1792</v>
      </c>
      <c r="F20" s="1">
        <v>303.14999999999998</v>
      </c>
      <c r="G20" s="1">
        <v>35.926400000000001</v>
      </c>
      <c r="I20" s="1">
        <v>1.1434</v>
      </c>
      <c r="J20" s="1">
        <v>323.14999999999998</v>
      </c>
      <c r="K20" s="1">
        <v>55.484099999999998</v>
      </c>
      <c r="M20" s="1">
        <v>1.0814999999999999</v>
      </c>
      <c r="N20" s="1">
        <v>343.15</v>
      </c>
      <c r="O20" s="1">
        <v>88.910899999999998</v>
      </c>
      <c r="Q20" s="1">
        <v>0.96089999999999998</v>
      </c>
      <c r="R20" s="1">
        <v>363.15</v>
      </c>
      <c r="S20" s="1">
        <v>74.193200000000004</v>
      </c>
    </row>
    <row r="21" spans="1:19" x14ac:dyDescent="0.3">
      <c r="A21" s="1">
        <v>1.1341000000000001</v>
      </c>
      <c r="B21" s="1">
        <v>283.14999999999998</v>
      </c>
      <c r="C21" s="1">
        <v>14.8559</v>
      </c>
      <c r="E21" s="1">
        <v>1.1787000000000001</v>
      </c>
      <c r="F21" s="1">
        <v>303.14999999999998</v>
      </c>
      <c r="G21" s="1">
        <v>34.977699999999999</v>
      </c>
      <c r="I21" s="1">
        <v>1.1405000000000001</v>
      </c>
      <c r="J21" s="1">
        <v>323.14999999999998</v>
      </c>
      <c r="K21" s="1">
        <v>53.897399999999998</v>
      </c>
      <c r="M21" s="1">
        <v>1.0804</v>
      </c>
      <c r="N21" s="1">
        <v>343.15</v>
      </c>
      <c r="O21" s="1">
        <v>87.4512</v>
      </c>
      <c r="Q21" s="1">
        <v>0.94920000000000004</v>
      </c>
      <c r="R21" s="1">
        <v>363.15</v>
      </c>
      <c r="S21" s="1">
        <v>71.056600000000003</v>
      </c>
    </row>
    <row r="22" spans="1:19" x14ac:dyDescent="0.3">
      <c r="A22" s="1">
        <v>1.1261000000000001</v>
      </c>
      <c r="B22" s="1">
        <v>283.14999999999998</v>
      </c>
      <c r="C22" s="1">
        <v>13.4663</v>
      </c>
      <c r="E22" s="1">
        <v>1.177</v>
      </c>
      <c r="F22" s="1">
        <v>303.14999999999998</v>
      </c>
      <c r="G22" s="1">
        <v>33.985599999999998</v>
      </c>
      <c r="I22" s="1">
        <v>1.1375</v>
      </c>
      <c r="J22" s="1">
        <v>323.14999999999998</v>
      </c>
      <c r="K22" s="1">
        <v>52.290700000000001</v>
      </c>
      <c r="M22" s="1">
        <v>1.0819000000000001</v>
      </c>
      <c r="N22" s="1">
        <v>343.15</v>
      </c>
      <c r="O22" s="1">
        <v>85.841099999999997</v>
      </c>
      <c r="Q22" s="1">
        <v>0.93340000000000001</v>
      </c>
      <c r="R22" s="1">
        <v>363.15</v>
      </c>
      <c r="S22" s="1">
        <v>67.996799999999993</v>
      </c>
    </row>
    <row r="23" spans="1:19" x14ac:dyDescent="0.3">
      <c r="A23" s="1">
        <v>1.1158999999999999</v>
      </c>
      <c r="B23" s="1">
        <v>283.14999999999998</v>
      </c>
      <c r="C23" s="1">
        <v>12.076700000000001</v>
      </c>
      <c r="E23" s="1">
        <v>1.1753</v>
      </c>
      <c r="F23" s="1">
        <v>303.14999999999998</v>
      </c>
      <c r="G23" s="1">
        <v>32.996899999999997</v>
      </c>
      <c r="I23" s="1">
        <v>1.1342000000000001</v>
      </c>
      <c r="J23" s="1">
        <v>323.14999999999998</v>
      </c>
      <c r="K23" s="1">
        <v>50.657299999999999</v>
      </c>
      <c r="M23" s="1">
        <v>1.0815999999999999</v>
      </c>
      <c r="N23" s="1">
        <v>343.15</v>
      </c>
      <c r="O23" s="1">
        <v>84.211100000000002</v>
      </c>
      <c r="Q23" s="1">
        <v>0.91679999999999995</v>
      </c>
      <c r="R23" s="1">
        <v>363.15</v>
      </c>
      <c r="S23" s="1">
        <v>65.230999999999995</v>
      </c>
    </row>
    <row r="24" spans="1:19" x14ac:dyDescent="0.3">
      <c r="A24" s="1">
        <v>1.1034999999999999</v>
      </c>
      <c r="B24" s="1">
        <v>283.14999999999998</v>
      </c>
      <c r="C24" s="1">
        <v>10.790699999999999</v>
      </c>
      <c r="E24" s="1">
        <v>1.1745000000000001</v>
      </c>
      <c r="F24" s="1">
        <v>303.14999999999998</v>
      </c>
      <c r="G24" s="1">
        <v>31.998100000000001</v>
      </c>
      <c r="I24" s="1">
        <v>1.1318999999999999</v>
      </c>
      <c r="J24" s="1">
        <v>323.14999999999998</v>
      </c>
      <c r="K24" s="1">
        <v>49.073999999999998</v>
      </c>
      <c r="M24" s="1">
        <v>1.0793999999999999</v>
      </c>
      <c r="N24" s="1">
        <v>343.15</v>
      </c>
      <c r="O24" s="1">
        <v>82.691199999999995</v>
      </c>
      <c r="Q24" s="1">
        <v>0.87250000000000005</v>
      </c>
      <c r="R24" s="1">
        <v>363.15</v>
      </c>
      <c r="S24" s="1">
        <v>62.729100000000003</v>
      </c>
    </row>
    <row r="25" spans="1:19" x14ac:dyDescent="0.3">
      <c r="A25" s="1">
        <v>1.0866</v>
      </c>
      <c r="B25" s="1">
        <v>283.14999999999998</v>
      </c>
      <c r="C25" s="1">
        <v>9.6850000000000005</v>
      </c>
      <c r="E25" s="1">
        <v>1.1722999999999999</v>
      </c>
      <c r="F25" s="1">
        <v>303.14999999999998</v>
      </c>
      <c r="G25" s="1">
        <v>30.9693</v>
      </c>
      <c r="I25" s="1">
        <v>1.1313</v>
      </c>
      <c r="J25" s="1">
        <v>323.14999999999998</v>
      </c>
      <c r="K25" s="1">
        <v>47.524000000000001</v>
      </c>
      <c r="M25" s="1">
        <v>1.0793999999999999</v>
      </c>
      <c r="N25" s="1">
        <v>343.15</v>
      </c>
      <c r="O25" s="1">
        <v>81.161299999999997</v>
      </c>
      <c r="Q25" s="1">
        <v>0.81769999999999998</v>
      </c>
      <c r="R25" s="1">
        <v>363.15</v>
      </c>
      <c r="S25" s="1">
        <v>60.554499999999997</v>
      </c>
    </row>
    <row r="26" spans="1:19" x14ac:dyDescent="0.3">
      <c r="A26" s="1">
        <v>1.0636000000000001</v>
      </c>
      <c r="B26" s="1">
        <v>283.14999999999998</v>
      </c>
      <c r="C26" s="1">
        <v>8.6361000000000008</v>
      </c>
      <c r="E26" s="1">
        <v>1.1701999999999999</v>
      </c>
      <c r="F26" s="1">
        <v>303.14999999999998</v>
      </c>
      <c r="G26" s="1">
        <v>29.9237</v>
      </c>
      <c r="I26" s="1">
        <v>1.1298999999999999</v>
      </c>
      <c r="J26" s="1">
        <v>323.14999999999998</v>
      </c>
      <c r="K26" s="1">
        <v>45.984099999999998</v>
      </c>
      <c r="M26" s="1">
        <v>1.0785</v>
      </c>
      <c r="N26" s="1">
        <v>343.15</v>
      </c>
      <c r="O26" s="1">
        <v>79.564599999999999</v>
      </c>
      <c r="Q26" s="1">
        <v>0.75190000000000001</v>
      </c>
      <c r="R26" s="1">
        <v>363.15</v>
      </c>
      <c r="S26" s="1">
        <v>58.6004</v>
      </c>
    </row>
    <row r="27" spans="1:19" x14ac:dyDescent="0.3">
      <c r="A27" s="1">
        <v>1.0322</v>
      </c>
      <c r="B27" s="1">
        <v>283.14999999999998</v>
      </c>
      <c r="C27" s="1">
        <v>7.7809999999999997</v>
      </c>
      <c r="E27" s="1">
        <v>1.169</v>
      </c>
      <c r="F27" s="1">
        <v>303.14999999999998</v>
      </c>
      <c r="G27" s="1">
        <v>28.8749</v>
      </c>
      <c r="I27" s="1">
        <v>1.1276999999999999</v>
      </c>
      <c r="J27" s="1">
        <v>323.14999999999998</v>
      </c>
      <c r="K27" s="1">
        <v>44.434199999999997</v>
      </c>
      <c r="M27" s="1">
        <v>1.0784</v>
      </c>
      <c r="N27" s="1">
        <v>343.15</v>
      </c>
      <c r="O27" s="1">
        <v>77.9679</v>
      </c>
      <c r="Q27" s="1">
        <v>0.68269999999999997</v>
      </c>
      <c r="R27" s="1">
        <v>363.15</v>
      </c>
      <c r="S27" s="1">
        <v>56.713099999999997</v>
      </c>
    </row>
    <row r="28" spans="1:19" x14ac:dyDescent="0.3">
      <c r="A28" s="1">
        <v>0.98880000000000001</v>
      </c>
      <c r="B28" s="1">
        <v>283.14999999999998</v>
      </c>
      <c r="C28" s="1">
        <v>7.2098000000000004</v>
      </c>
      <c r="E28" s="1">
        <v>1.1656</v>
      </c>
      <c r="F28" s="1">
        <v>303.14999999999998</v>
      </c>
      <c r="G28" s="1">
        <v>27.682400000000001</v>
      </c>
      <c r="I28" s="1">
        <v>1.1254999999999999</v>
      </c>
      <c r="J28" s="1">
        <v>323.14999999999998</v>
      </c>
      <c r="K28" s="1">
        <v>42.854199999999999</v>
      </c>
      <c r="M28" s="1">
        <v>1.0783</v>
      </c>
      <c r="N28" s="1">
        <v>343.15</v>
      </c>
      <c r="O28" s="1">
        <v>76.377899999999997</v>
      </c>
      <c r="Q28" s="1">
        <v>0.59970000000000001</v>
      </c>
      <c r="R28" s="1">
        <v>363.15</v>
      </c>
      <c r="S28" s="1">
        <v>55.052999999999997</v>
      </c>
    </row>
    <row r="29" spans="1:19" x14ac:dyDescent="0.3">
      <c r="A29" s="1">
        <v>0.93100000000000005</v>
      </c>
      <c r="B29" s="1">
        <v>283.14999999999998</v>
      </c>
      <c r="C29" s="1">
        <v>6.8357000000000001</v>
      </c>
      <c r="E29" s="1">
        <v>1.1621999999999999</v>
      </c>
      <c r="F29" s="1">
        <v>303.14999999999998</v>
      </c>
      <c r="G29" s="1">
        <v>26.453099999999999</v>
      </c>
      <c r="I29" s="1">
        <v>1.1214</v>
      </c>
      <c r="J29" s="1">
        <v>323.14999999999998</v>
      </c>
      <c r="K29" s="1">
        <v>41.270899999999997</v>
      </c>
      <c r="M29" s="1">
        <v>1.0806</v>
      </c>
      <c r="N29" s="1">
        <v>343.15</v>
      </c>
      <c r="O29" s="1">
        <v>74.754499999999993</v>
      </c>
      <c r="Q29" s="1">
        <v>0.51690000000000003</v>
      </c>
      <c r="R29" s="1">
        <v>363.15</v>
      </c>
      <c r="S29" s="1">
        <v>53.496400000000001</v>
      </c>
    </row>
    <row r="30" spans="1:19" x14ac:dyDescent="0.3">
      <c r="A30" s="1">
        <v>0.87119999999999997</v>
      </c>
      <c r="B30" s="1">
        <v>283.14999999999998</v>
      </c>
      <c r="C30" s="1">
        <v>6.6086</v>
      </c>
      <c r="E30" s="1">
        <v>1.1592</v>
      </c>
      <c r="F30" s="1">
        <v>303.14999999999998</v>
      </c>
      <c r="G30" s="1">
        <v>25.4377</v>
      </c>
      <c r="I30" s="1">
        <v>1.117</v>
      </c>
      <c r="J30" s="1">
        <v>323.14999999999998</v>
      </c>
      <c r="K30" s="1">
        <v>39.664200000000001</v>
      </c>
      <c r="M30" s="1">
        <v>1.0771999999999999</v>
      </c>
      <c r="N30" s="1">
        <v>343.15</v>
      </c>
      <c r="O30" s="1">
        <v>73.214600000000004</v>
      </c>
      <c r="Q30" s="1">
        <v>0.43090000000000001</v>
      </c>
      <c r="R30" s="1">
        <v>363.15</v>
      </c>
      <c r="S30" s="1">
        <v>51.872999999999998</v>
      </c>
    </row>
    <row r="31" spans="1:19" x14ac:dyDescent="0.3">
      <c r="A31" s="1">
        <v>0.80269999999999997</v>
      </c>
      <c r="B31" s="1">
        <v>283.14999999999998</v>
      </c>
      <c r="C31" s="1">
        <v>6.4282000000000004</v>
      </c>
      <c r="E31" s="1">
        <v>1.1549</v>
      </c>
      <c r="F31" s="1">
        <v>303.14999999999998</v>
      </c>
      <c r="G31" s="1">
        <v>24.3019</v>
      </c>
      <c r="I31" s="1">
        <v>1.1123000000000001</v>
      </c>
      <c r="J31" s="1">
        <v>323.14999999999998</v>
      </c>
      <c r="K31" s="1">
        <v>38.057499999999997</v>
      </c>
      <c r="M31" s="1">
        <v>1.0753999999999999</v>
      </c>
      <c r="N31" s="1">
        <v>343.15</v>
      </c>
      <c r="O31" s="1">
        <v>71.631299999999996</v>
      </c>
      <c r="Q31" s="1">
        <v>0.3483</v>
      </c>
      <c r="R31" s="1">
        <v>363.15</v>
      </c>
      <c r="S31" s="1">
        <v>50.2729</v>
      </c>
    </row>
    <row r="32" spans="1:19" x14ac:dyDescent="0.3">
      <c r="A32" s="1">
        <v>0.72809999999999997</v>
      </c>
      <c r="B32" s="1">
        <v>283.14999999999998</v>
      </c>
      <c r="C32" s="1">
        <v>6.3113000000000001</v>
      </c>
      <c r="E32" s="1">
        <v>1.1506000000000001</v>
      </c>
      <c r="F32" s="1">
        <v>303.14999999999998</v>
      </c>
      <c r="G32" s="1">
        <v>23.139500000000002</v>
      </c>
      <c r="I32" s="1">
        <v>1.1062000000000001</v>
      </c>
      <c r="J32" s="1">
        <v>323.14999999999998</v>
      </c>
      <c r="K32" s="1">
        <v>36.393999999999998</v>
      </c>
      <c r="M32" s="1">
        <v>1.0738000000000001</v>
      </c>
      <c r="N32" s="1">
        <v>343.15</v>
      </c>
      <c r="O32" s="1">
        <v>69.907700000000006</v>
      </c>
      <c r="Q32" s="1">
        <v>0.27389999999999998</v>
      </c>
      <c r="R32" s="1">
        <v>363.15</v>
      </c>
      <c r="S32" s="1">
        <v>48.302100000000003</v>
      </c>
    </row>
    <row r="33" spans="1:19" x14ac:dyDescent="0.3">
      <c r="A33" s="1">
        <v>0.65639999999999998</v>
      </c>
      <c r="B33" s="1">
        <v>283.14999999999998</v>
      </c>
      <c r="C33" s="1">
        <v>6.1375999999999999</v>
      </c>
      <c r="E33" s="1">
        <v>1.1442000000000001</v>
      </c>
      <c r="F33" s="1">
        <v>303.14999999999998</v>
      </c>
      <c r="G33" s="1">
        <v>22.0105</v>
      </c>
      <c r="I33" s="1">
        <v>1.0989</v>
      </c>
      <c r="J33" s="1">
        <v>323.14999999999998</v>
      </c>
      <c r="K33" s="1">
        <v>34.773899999999998</v>
      </c>
      <c r="M33" s="1">
        <v>1.0745</v>
      </c>
      <c r="N33" s="1">
        <v>343.15</v>
      </c>
      <c r="O33" s="1">
        <v>68.0839</v>
      </c>
      <c r="Q33" s="1">
        <v>0.2157</v>
      </c>
      <c r="R33" s="1">
        <v>363.15</v>
      </c>
      <c r="S33" s="1">
        <v>46.064100000000003</v>
      </c>
    </row>
    <row r="34" spans="1:19" x14ac:dyDescent="0.3">
      <c r="A34" s="1">
        <v>0.58599999999999997</v>
      </c>
      <c r="B34" s="1">
        <v>283.14999999999998</v>
      </c>
      <c r="C34" s="1">
        <v>6.0106000000000002</v>
      </c>
      <c r="E34" s="1">
        <v>1.1376999999999999</v>
      </c>
      <c r="F34" s="1">
        <v>303.14999999999998</v>
      </c>
      <c r="G34" s="1">
        <v>20.954899999999999</v>
      </c>
      <c r="I34" s="1">
        <v>1.0902000000000001</v>
      </c>
      <c r="J34" s="1">
        <v>323.14999999999998</v>
      </c>
      <c r="K34" s="1">
        <v>33.180599999999998</v>
      </c>
      <c r="M34" s="1">
        <v>1.0780000000000001</v>
      </c>
      <c r="N34" s="1">
        <v>343.15</v>
      </c>
      <c r="O34" s="1">
        <v>66.276700000000005</v>
      </c>
      <c r="Q34" s="1">
        <v>0.16600000000000001</v>
      </c>
      <c r="R34" s="1">
        <v>363.15</v>
      </c>
      <c r="S34" s="1">
        <v>43.588900000000002</v>
      </c>
    </row>
    <row r="35" spans="1:19" x14ac:dyDescent="0.3">
      <c r="A35" s="1">
        <v>0.50829999999999997</v>
      </c>
      <c r="B35" s="1">
        <v>283.14999999999998</v>
      </c>
      <c r="C35" s="1">
        <v>5.9238</v>
      </c>
      <c r="E35" s="1">
        <v>1.129</v>
      </c>
      <c r="F35" s="1">
        <v>303.14999999999998</v>
      </c>
      <c r="G35" s="1">
        <v>19.922799999999999</v>
      </c>
      <c r="I35" s="1">
        <v>1.0803</v>
      </c>
      <c r="J35" s="1">
        <v>323.14999999999998</v>
      </c>
      <c r="K35" s="1">
        <v>31.667400000000001</v>
      </c>
      <c r="M35" s="1">
        <v>1.0783</v>
      </c>
      <c r="N35" s="1">
        <v>343.15</v>
      </c>
      <c r="O35" s="1">
        <v>64.496300000000005</v>
      </c>
      <c r="Q35" s="1">
        <v>0.1305</v>
      </c>
      <c r="R35" s="1">
        <v>363.15</v>
      </c>
      <c r="S35" s="1">
        <v>40.746299999999998</v>
      </c>
    </row>
    <row r="36" spans="1:19" x14ac:dyDescent="0.3">
      <c r="A36" s="1">
        <v>0.43440000000000001</v>
      </c>
      <c r="B36" s="1">
        <v>283.14999999999998</v>
      </c>
      <c r="C36" s="1">
        <v>5.8269000000000002</v>
      </c>
      <c r="E36" s="1">
        <v>1.1171</v>
      </c>
      <c r="F36" s="1">
        <v>303.14999999999998</v>
      </c>
      <c r="G36" s="1">
        <v>18.803699999999999</v>
      </c>
      <c r="I36" s="1">
        <v>1.0662</v>
      </c>
      <c r="J36" s="1">
        <v>323.14999999999998</v>
      </c>
      <c r="K36" s="1">
        <v>30.067399999999999</v>
      </c>
      <c r="M36" s="1">
        <v>1.0753999999999999</v>
      </c>
      <c r="N36" s="1">
        <v>343.15</v>
      </c>
      <c r="O36" s="1">
        <v>62.712600000000002</v>
      </c>
      <c r="Q36" s="1">
        <v>8.6300000000000002E-2</v>
      </c>
      <c r="R36" s="1">
        <v>363.15</v>
      </c>
      <c r="S36" s="1">
        <v>38.050600000000003</v>
      </c>
    </row>
    <row r="37" spans="1:19" x14ac:dyDescent="0.3">
      <c r="A37" s="1">
        <v>0.36</v>
      </c>
      <c r="B37" s="1">
        <v>283.14999999999998</v>
      </c>
      <c r="C37" s="1">
        <v>5.7333999999999996</v>
      </c>
      <c r="E37" s="1">
        <v>1.1008</v>
      </c>
      <c r="F37" s="1">
        <v>303.14999999999998</v>
      </c>
      <c r="G37" s="1">
        <v>17.888500000000001</v>
      </c>
      <c r="I37" s="1">
        <v>1.046</v>
      </c>
      <c r="J37" s="1">
        <v>323.14999999999998</v>
      </c>
      <c r="K37" s="1">
        <v>28.574200000000001</v>
      </c>
      <c r="M37" s="1">
        <v>1.0727</v>
      </c>
      <c r="N37" s="1">
        <v>343.15</v>
      </c>
      <c r="O37" s="1">
        <v>60.912100000000002</v>
      </c>
      <c r="Q37" s="1">
        <v>6.2799999999999995E-2</v>
      </c>
      <c r="R37" s="1">
        <v>363.15</v>
      </c>
      <c r="S37" s="1">
        <v>34.596699999999998</v>
      </c>
    </row>
    <row r="38" spans="1:19" x14ac:dyDescent="0.3">
      <c r="A38" s="1">
        <v>0.28860000000000002</v>
      </c>
      <c r="B38" s="1">
        <v>283.14999999999998</v>
      </c>
      <c r="C38" s="1">
        <v>5.6364999999999998</v>
      </c>
      <c r="E38" s="1">
        <v>1.0762</v>
      </c>
      <c r="F38" s="1">
        <v>303.14999999999998</v>
      </c>
      <c r="G38" s="1">
        <v>17.177</v>
      </c>
      <c r="I38" s="1">
        <v>1.014</v>
      </c>
      <c r="J38" s="1">
        <v>323.14999999999998</v>
      </c>
      <c r="K38" s="1">
        <v>27.294899999999998</v>
      </c>
      <c r="M38" s="1">
        <v>1.0690999999999999</v>
      </c>
      <c r="N38" s="1">
        <v>343.15</v>
      </c>
      <c r="O38" s="1">
        <v>59.185200000000002</v>
      </c>
      <c r="Q38" s="1">
        <v>5.0799999999999998E-2</v>
      </c>
      <c r="R38" s="1">
        <v>363.15</v>
      </c>
      <c r="S38" s="1">
        <v>31.099399999999999</v>
      </c>
    </row>
    <row r="39" spans="1:19" x14ac:dyDescent="0.3">
      <c r="A39" s="1">
        <v>0.21529999999999999</v>
      </c>
      <c r="B39" s="1">
        <v>283.14999999999998</v>
      </c>
      <c r="C39" s="1">
        <v>5.5796999999999999</v>
      </c>
      <c r="E39" s="1">
        <v>1.0463</v>
      </c>
      <c r="F39" s="1">
        <v>303.14999999999998</v>
      </c>
      <c r="G39" s="1">
        <v>16.625800000000002</v>
      </c>
      <c r="I39" s="1">
        <v>0.97070000000000001</v>
      </c>
      <c r="J39" s="1">
        <v>323.14999999999998</v>
      </c>
      <c r="K39" s="1">
        <v>26.332899999999999</v>
      </c>
      <c r="M39" s="1">
        <v>1.0640000000000001</v>
      </c>
      <c r="N39" s="1">
        <v>343.15</v>
      </c>
      <c r="O39" s="1">
        <v>57.491599999999998</v>
      </c>
      <c r="Q39" s="1">
        <v>4.3999999999999997E-2</v>
      </c>
      <c r="R39" s="1">
        <v>363.15</v>
      </c>
      <c r="S39" s="1">
        <v>27.331399999999999</v>
      </c>
    </row>
    <row r="40" spans="1:19" x14ac:dyDescent="0.3">
      <c r="A40" s="1">
        <v>0.158</v>
      </c>
      <c r="B40" s="1">
        <v>283.14999999999998</v>
      </c>
      <c r="C40" s="1">
        <v>5.5061999999999998</v>
      </c>
      <c r="E40" s="1">
        <v>1.0098</v>
      </c>
      <c r="F40" s="1">
        <v>303.14999999999998</v>
      </c>
      <c r="G40" s="1">
        <v>16.154800000000002</v>
      </c>
      <c r="I40" s="1">
        <v>0.91379999999999995</v>
      </c>
      <c r="J40" s="1">
        <v>323.14999999999998</v>
      </c>
      <c r="K40" s="1">
        <v>25.5245</v>
      </c>
      <c r="M40" s="1">
        <v>1.0626</v>
      </c>
      <c r="N40" s="1">
        <v>343.15</v>
      </c>
      <c r="O40" s="1">
        <v>55.714599999999997</v>
      </c>
      <c r="Q40" s="1">
        <v>4.0500000000000001E-2</v>
      </c>
      <c r="R40" s="1">
        <v>363.15</v>
      </c>
      <c r="S40" s="1">
        <v>23.5702</v>
      </c>
    </row>
    <row r="41" spans="1:19" x14ac:dyDescent="0.3">
      <c r="A41" s="1">
        <v>9.4899999999999998E-2</v>
      </c>
      <c r="B41" s="1">
        <v>283.14999999999998</v>
      </c>
      <c r="C41" s="1">
        <v>5.1921999999999997</v>
      </c>
      <c r="E41" s="1">
        <v>0.97250000000000003</v>
      </c>
      <c r="F41" s="1">
        <v>303.14999999999998</v>
      </c>
      <c r="G41" s="1">
        <v>15.7874</v>
      </c>
      <c r="I41" s="1">
        <v>0.85240000000000005</v>
      </c>
      <c r="J41" s="1">
        <v>323.14999999999998</v>
      </c>
      <c r="K41" s="1">
        <v>24.869800000000001</v>
      </c>
      <c r="M41" s="1">
        <v>1.0589999999999999</v>
      </c>
      <c r="N41" s="1">
        <v>343.15</v>
      </c>
      <c r="O41" s="1">
        <v>53.974200000000003</v>
      </c>
      <c r="Q41" s="1">
        <v>3.78E-2</v>
      </c>
      <c r="R41" s="1">
        <v>363.15</v>
      </c>
      <c r="S41" s="1">
        <v>19.7789</v>
      </c>
    </row>
    <row r="42" spans="1:19" x14ac:dyDescent="0.3">
      <c r="A42" s="1">
        <v>5.0299999999999997E-2</v>
      </c>
      <c r="B42" s="1">
        <v>283.14999999999998</v>
      </c>
      <c r="C42" s="1">
        <v>4.5007999999999999</v>
      </c>
      <c r="E42" s="1">
        <v>0.92869999999999997</v>
      </c>
      <c r="F42" s="1">
        <v>303.14999999999998</v>
      </c>
      <c r="G42" s="1">
        <v>15.4567</v>
      </c>
      <c r="I42" s="1">
        <v>0.78539999999999999</v>
      </c>
      <c r="J42" s="1">
        <v>323.14999999999998</v>
      </c>
      <c r="K42" s="1">
        <v>24.3186</v>
      </c>
      <c r="M42" s="1">
        <v>1.0556000000000001</v>
      </c>
      <c r="N42" s="1">
        <v>343.15</v>
      </c>
      <c r="O42" s="1">
        <v>52.317399999999999</v>
      </c>
      <c r="Q42" s="1">
        <v>3.4599999999999999E-2</v>
      </c>
      <c r="R42" s="1">
        <v>363.15</v>
      </c>
      <c r="S42" s="1">
        <v>15.7104</v>
      </c>
    </row>
    <row r="43" spans="1:19" x14ac:dyDescent="0.3">
      <c r="A43" s="1">
        <v>3.39E-2</v>
      </c>
      <c r="B43" s="1">
        <v>283.14999999999998</v>
      </c>
      <c r="C43" s="1">
        <v>3.2881999999999998</v>
      </c>
      <c r="E43" s="1">
        <v>0.88090000000000002</v>
      </c>
      <c r="F43" s="1">
        <v>303.14999999999998</v>
      </c>
      <c r="G43" s="1">
        <v>15.1761</v>
      </c>
      <c r="I43" s="1">
        <v>0.71709999999999996</v>
      </c>
      <c r="J43" s="1">
        <v>323.14999999999998</v>
      </c>
      <c r="K43" s="1">
        <v>23.834299999999999</v>
      </c>
      <c r="M43" s="1">
        <v>1.0489999999999999</v>
      </c>
      <c r="N43" s="1">
        <v>343.15</v>
      </c>
      <c r="O43" s="1">
        <v>50.580399999999997</v>
      </c>
      <c r="Q43" s="1">
        <v>3.09E-2</v>
      </c>
      <c r="R43" s="1">
        <v>363.15</v>
      </c>
      <c r="S43" s="1">
        <v>11.7888</v>
      </c>
    </row>
    <row r="44" spans="1:19" x14ac:dyDescent="0.3">
      <c r="A44" s="1">
        <v>2.29E-2</v>
      </c>
      <c r="B44" s="1">
        <v>283.14999999999998</v>
      </c>
      <c r="C44" s="1">
        <v>2.1793</v>
      </c>
      <c r="E44" s="1">
        <v>0.8367</v>
      </c>
      <c r="F44" s="1">
        <v>303.14999999999998</v>
      </c>
      <c r="G44" s="1">
        <v>14.9557</v>
      </c>
      <c r="I44" s="1">
        <v>0.64890000000000003</v>
      </c>
      <c r="J44" s="1">
        <v>323.14999999999998</v>
      </c>
      <c r="K44" s="1">
        <v>23.386700000000001</v>
      </c>
      <c r="M44" s="1">
        <v>1.0407999999999999</v>
      </c>
      <c r="N44" s="1">
        <v>343.15</v>
      </c>
      <c r="O44" s="1">
        <v>48.843499999999999</v>
      </c>
      <c r="Q44" s="1">
        <v>2.75E-2</v>
      </c>
      <c r="R44" s="1">
        <v>363.15</v>
      </c>
      <c r="S44" s="1">
        <v>8.6155000000000008</v>
      </c>
    </row>
    <row r="45" spans="1:19" x14ac:dyDescent="0.3">
      <c r="A45" s="1">
        <v>1.46E-2</v>
      </c>
      <c r="B45" s="1">
        <v>283.14999999999998</v>
      </c>
      <c r="C45" s="1">
        <v>1.3642000000000001</v>
      </c>
      <c r="E45" s="1">
        <v>0.79120000000000001</v>
      </c>
      <c r="F45" s="1">
        <v>303.14999999999998</v>
      </c>
      <c r="G45" s="1">
        <v>14.7285</v>
      </c>
      <c r="I45" s="1">
        <v>0.58260000000000001</v>
      </c>
      <c r="J45" s="1">
        <v>323.14999999999998</v>
      </c>
      <c r="K45" s="1">
        <v>22.9892</v>
      </c>
      <c r="M45" s="1">
        <v>1.0310999999999999</v>
      </c>
      <c r="N45" s="1">
        <v>343.15</v>
      </c>
      <c r="O45" s="1">
        <v>47.250100000000003</v>
      </c>
      <c r="Q45" s="1">
        <v>2.4400000000000002E-2</v>
      </c>
      <c r="R45" s="1">
        <v>363.15</v>
      </c>
      <c r="S45" s="1">
        <v>6.0500999999999996</v>
      </c>
    </row>
    <row r="46" spans="1:19" x14ac:dyDescent="0.3">
      <c r="A46" s="1">
        <v>8.6E-3</v>
      </c>
      <c r="B46" s="1">
        <v>283.14999999999998</v>
      </c>
      <c r="C46" s="1">
        <v>0.86319999999999997</v>
      </c>
      <c r="E46" s="1">
        <v>0.73970000000000002</v>
      </c>
      <c r="F46" s="1">
        <v>303.14999999999998</v>
      </c>
      <c r="G46" s="1">
        <v>14.5381</v>
      </c>
      <c r="I46" s="1">
        <v>0.51659999999999995</v>
      </c>
      <c r="J46" s="1">
        <v>323.14999999999998</v>
      </c>
      <c r="K46" s="1">
        <v>22.598400000000002</v>
      </c>
      <c r="M46" s="1">
        <v>1.0199</v>
      </c>
      <c r="N46" s="1">
        <v>343.15</v>
      </c>
      <c r="O46" s="1">
        <v>45.686799999999998</v>
      </c>
      <c r="Q46" s="1">
        <v>2.06E-2</v>
      </c>
      <c r="R46" s="1">
        <v>363.15</v>
      </c>
      <c r="S46" s="1">
        <v>3.7185000000000001</v>
      </c>
    </row>
    <row r="47" spans="1:19" x14ac:dyDescent="0.3">
      <c r="A47" s="1">
        <v>4.1999999999999997E-3</v>
      </c>
      <c r="B47" s="1">
        <v>283.14999999999998</v>
      </c>
      <c r="C47" s="1">
        <v>0.55249999999999999</v>
      </c>
      <c r="E47" s="1">
        <v>0.69120000000000004</v>
      </c>
      <c r="F47" s="1">
        <v>303.14999999999998</v>
      </c>
      <c r="G47" s="1">
        <v>14.340999999999999</v>
      </c>
      <c r="I47" s="1">
        <v>0.4506</v>
      </c>
      <c r="J47" s="1">
        <v>323.14999999999998</v>
      </c>
      <c r="K47" s="1">
        <v>22.2042</v>
      </c>
      <c r="M47" s="1">
        <v>1.0034000000000001</v>
      </c>
      <c r="N47" s="1">
        <v>343.15</v>
      </c>
      <c r="O47" s="1">
        <v>44.2271</v>
      </c>
      <c r="Q47" s="1">
        <v>1.6299999999999999E-2</v>
      </c>
      <c r="R47" s="1">
        <v>363.15</v>
      </c>
      <c r="S47" s="1">
        <v>2.0049000000000001</v>
      </c>
    </row>
    <row r="48" spans="1:19" x14ac:dyDescent="0.3">
      <c r="A48" s="1">
        <v>8.9999999999999998E-4</v>
      </c>
      <c r="B48" s="1">
        <v>283.14999999999998</v>
      </c>
      <c r="C48" s="1">
        <v>0.35880000000000001</v>
      </c>
      <c r="E48" s="1">
        <v>0.63290000000000002</v>
      </c>
      <c r="F48" s="1">
        <v>303.14999999999998</v>
      </c>
      <c r="G48" s="1">
        <v>14.144</v>
      </c>
      <c r="I48" s="1">
        <v>0.38080000000000003</v>
      </c>
      <c r="J48" s="1">
        <v>323.14999999999998</v>
      </c>
      <c r="K48" s="1">
        <v>21.7867</v>
      </c>
      <c r="M48" s="1">
        <v>0.97389999999999999</v>
      </c>
      <c r="N48" s="1">
        <v>343.15</v>
      </c>
      <c r="O48" s="1">
        <v>42.994500000000002</v>
      </c>
      <c r="Q48" s="1">
        <v>1.2699999999999999E-2</v>
      </c>
      <c r="R48" s="1">
        <v>363.15</v>
      </c>
      <c r="S48" s="1">
        <v>1.103</v>
      </c>
    </row>
    <row r="49" spans="1:19" x14ac:dyDescent="0.3">
      <c r="A49" s="1">
        <v>-1.9E-3</v>
      </c>
      <c r="B49" s="1">
        <v>283.14999999999998</v>
      </c>
      <c r="C49" s="1">
        <v>0.23849999999999999</v>
      </c>
      <c r="E49" s="1">
        <v>0.58350000000000002</v>
      </c>
      <c r="F49" s="1">
        <v>303.14999999999998</v>
      </c>
      <c r="G49" s="1">
        <v>13.966900000000001</v>
      </c>
      <c r="I49" s="1">
        <v>0.3145</v>
      </c>
      <c r="J49" s="1">
        <v>323.14999999999998</v>
      </c>
      <c r="K49" s="1">
        <v>21.359100000000002</v>
      </c>
      <c r="M49" s="1">
        <v>0.93659999999999999</v>
      </c>
      <c r="N49" s="1">
        <v>343.15</v>
      </c>
      <c r="O49" s="1">
        <v>41.8855</v>
      </c>
      <c r="Q49" s="1">
        <v>0.01</v>
      </c>
      <c r="R49" s="1">
        <v>363.15</v>
      </c>
      <c r="S49" s="1">
        <v>0.61539999999999995</v>
      </c>
    </row>
    <row r="50" spans="1:19" x14ac:dyDescent="0.3">
      <c r="A50" s="1">
        <v>-3.8999999999999998E-3</v>
      </c>
      <c r="B50" s="1">
        <v>283.14999999999998</v>
      </c>
      <c r="C50" s="1">
        <v>0.155</v>
      </c>
      <c r="E50" s="1">
        <v>0.53549999999999998</v>
      </c>
      <c r="F50" s="1">
        <v>303.14999999999998</v>
      </c>
      <c r="G50" s="1">
        <v>13.799899999999999</v>
      </c>
      <c r="I50" s="1">
        <v>0.25330000000000003</v>
      </c>
      <c r="J50" s="1">
        <v>323.14999999999998</v>
      </c>
      <c r="K50" s="1">
        <v>20.884799999999998</v>
      </c>
      <c r="M50" s="1">
        <v>0.89249999999999996</v>
      </c>
      <c r="N50" s="1">
        <v>343.15</v>
      </c>
      <c r="O50" s="1">
        <v>40.920200000000001</v>
      </c>
    </row>
    <row r="51" spans="1:19" x14ac:dyDescent="0.3">
      <c r="E51" s="1">
        <v>0.47920000000000001</v>
      </c>
      <c r="F51" s="1">
        <v>303.14999999999998</v>
      </c>
      <c r="G51" s="1">
        <v>13.6195</v>
      </c>
      <c r="I51" s="1">
        <v>0.1883</v>
      </c>
      <c r="J51" s="1">
        <v>323.14999999999998</v>
      </c>
      <c r="K51" s="1">
        <v>20.340299999999999</v>
      </c>
      <c r="M51" s="1">
        <v>0.84330000000000005</v>
      </c>
      <c r="N51" s="1">
        <v>343.15</v>
      </c>
      <c r="O51" s="1">
        <v>40.034999999999997</v>
      </c>
    </row>
    <row r="52" spans="1:19" x14ac:dyDescent="0.3">
      <c r="E52" s="1">
        <v>0.42970000000000003</v>
      </c>
      <c r="F52" s="1">
        <v>303.14999999999998</v>
      </c>
      <c r="G52" s="1">
        <v>13.452500000000001</v>
      </c>
      <c r="I52" s="1">
        <v>0.13639999999999999</v>
      </c>
      <c r="J52" s="1">
        <v>323.14999999999998</v>
      </c>
      <c r="K52" s="1">
        <v>19.552</v>
      </c>
      <c r="M52" s="1">
        <v>0.79069999999999996</v>
      </c>
      <c r="N52" s="1">
        <v>343.15</v>
      </c>
      <c r="O52" s="1">
        <v>39.26</v>
      </c>
    </row>
    <row r="53" spans="1:19" x14ac:dyDescent="0.3">
      <c r="E53" s="1">
        <v>0.38030000000000003</v>
      </c>
      <c r="F53" s="1">
        <v>303.14999999999998</v>
      </c>
      <c r="G53" s="1">
        <v>13.2788</v>
      </c>
      <c r="I53" s="1">
        <v>9.4600000000000004E-2</v>
      </c>
      <c r="J53" s="1">
        <v>323.14999999999998</v>
      </c>
      <c r="K53" s="1">
        <v>18.4163</v>
      </c>
      <c r="M53" s="1">
        <v>0.73550000000000004</v>
      </c>
      <c r="N53" s="1">
        <v>343.15</v>
      </c>
      <c r="O53" s="1">
        <v>38.545200000000001</v>
      </c>
    </row>
    <row r="54" spans="1:19" x14ac:dyDescent="0.3">
      <c r="E54" s="1">
        <v>0.32969999999999999</v>
      </c>
      <c r="F54" s="1">
        <v>303.14999999999998</v>
      </c>
      <c r="G54" s="1">
        <v>13.1051</v>
      </c>
      <c r="I54" s="1">
        <v>7.1400000000000005E-2</v>
      </c>
      <c r="J54" s="1">
        <v>323.14999999999998</v>
      </c>
      <c r="K54" s="1">
        <v>16.953199999999999</v>
      </c>
      <c r="M54" s="1">
        <v>0.67810000000000004</v>
      </c>
      <c r="N54" s="1">
        <v>343.15</v>
      </c>
      <c r="O54" s="1">
        <v>37.887099999999997</v>
      </c>
    </row>
    <row r="55" spans="1:19" x14ac:dyDescent="0.3">
      <c r="E55" s="1">
        <v>0.28170000000000001</v>
      </c>
      <c r="F55" s="1">
        <v>303.14999999999998</v>
      </c>
      <c r="G55" s="1">
        <v>12.934699999999999</v>
      </c>
      <c r="I55" s="1">
        <v>6.2700000000000006E-2</v>
      </c>
      <c r="J55" s="1">
        <v>323.14999999999998</v>
      </c>
      <c r="K55" s="1">
        <v>15.2296</v>
      </c>
      <c r="M55" s="1">
        <v>0.61960000000000004</v>
      </c>
      <c r="N55" s="1">
        <v>343.15</v>
      </c>
      <c r="O55" s="1">
        <v>37.2057</v>
      </c>
    </row>
    <row r="56" spans="1:19" x14ac:dyDescent="0.3">
      <c r="E56" s="1">
        <v>0.2336</v>
      </c>
      <c r="F56" s="1">
        <v>303.14999999999998</v>
      </c>
      <c r="G56" s="1">
        <v>12.7477</v>
      </c>
      <c r="I56" s="1">
        <v>5.8700000000000002E-2</v>
      </c>
      <c r="J56" s="1">
        <v>323.14999999999998</v>
      </c>
      <c r="K56" s="1">
        <v>13.3857</v>
      </c>
      <c r="M56" s="1">
        <v>0.55920000000000003</v>
      </c>
      <c r="N56" s="1">
        <v>343.15</v>
      </c>
      <c r="O56" s="1">
        <v>36.554299999999998</v>
      </c>
    </row>
    <row r="57" spans="1:19" x14ac:dyDescent="0.3">
      <c r="E57" s="1">
        <v>0.18579999999999999</v>
      </c>
      <c r="F57" s="1">
        <v>303.14999999999998</v>
      </c>
      <c r="G57" s="1">
        <v>12.5105</v>
      </c>
      <c r="I57" s="1">
        <v>5.5100000000000003E-2</v>
      </c>
      <c r="J57" s="1">
        <v>323.14999999999998</v>
      </c>
      <c r="K57" s="1">
        <v>11.418200000000001</v>
      </c>
      <c r="M57" s="1">
        <v>0.49819999999999998</v>
      </c>
      <c r="N57" s="1">
        <v>343.15</v>
      </c>
      <c r="O57" s="1">
        <v>35.8996</v>
      </c>
    </row>
    <row r="58" spans="1:19" x14ac:dyDescent="0.3">
      <c r="E58" s="1">
        <v>0.14199999999999999</v>
      </c>
      <c r="F58" s="1">
        <v>303.14999999999998</v>
      </c>
      <c r="G58" s="1">
        <v>12.193199999999999</v>
      </c>
      <c r="I58" s="1">
        <v>5.1200000000000002E-2</v>
      </c>
      <c r="J58" s="1">
        <v>323.14999999999998</v>
      </c>
      <c r="K58" s="1">
        <v>9.2871000000000006</v>
      </c>
      <c r="M58" s="1">
        <v>0.43319999999999997</v>
      </c>
      <c r="N58" s="1">
        <v>343.15</v>
      </c>
      <c r="O58" s="1">
        <v>35.305</v>
      </c>
    </row>
    <row r="59" spans="1:19" x14ac:dyDescent="0.3">
      <c r="E59" s="1">
        <v>9.9599999999999994E-2</v>
      </c>
      <c r="F59" s="1">
        <v>303.14999999999998</v>
      </c>
      <c r="G59" s="1">
        <v>11.7155</v>
      </c>
      <c r="I59" s="1">
        <v>4.7699999999999999E-2</v>
      </c>
      <c r="J59" s="1">
        <v>323.14999999999998</v>
      </c>
      <c r="K59" s="1">
        <v>7.8106999999999998</v>
      </c>
      <c r="M59" s="1">
        <v>0.3695</v>
      </c>
      <c r="N59" s="1">
        <v>343.15</v>
      </c>
      <c r="O59" s="1">
        <v>34.593600000000002</v>
      </c>
    </row>
    <row r="60" spans="1:19" x14ac:dyDescent="0.3">
      <c r="E60" s="1">
        <v>7.2099999999999997E-2</v>
      </c>
      <c r="F60" s="1">
        <v>303.14999999999998</v>
      </c>
      <c r="G60" s="1">
        <v>11.0341</v>
      </c>
      <c r="I60" s="1">
        <v>4.4200000000000003E-2</v>
      </c>
      <c r="J60" s="1">
        <v>323.14999999999998</v>
      </c>
      <c r="K60" s="1">
        <v>6.3041999999999998</v>
      </c>
      <c r="M60" s="1">
        <v>0.30659999999999998</v>
      </c>
      <c r="N60" s="1">
        <v>343.15</v>
      </c>
      <c r="O60" s="1">
        <v>33.781799999999997</v>
      </c>
    </row>
    <row r="61" spans="1:19" x14ac:dyDescent="0.3">
      <c r="E61" s="1">
        <v>5.8200000000000002E-2</v>
      </c>
      <c r="F61" s="1">
        <v>303.14999999999998</v>
      </c>
      <c r="G61" s="1">
        <v>10.0654</v>
      </c>
      <c r="I61" s="1">
        <v>4.02E-2</v>
      </c>
      <c r="J61" s="1">
        <v>323.14999999999998</v>
      </c>
      <c r="K61" s="1">
        <v>4.8109999999999999</v>
      </c>
      <c r="M61" s="1">
        <v>0.25469999999999998</v>
      </c>
      <c r="N61" s="1">
        <v>343.15</v>
      </c>
      <c r="O61" s="1">
        <v>32.936700000000002</v>
      </c>
    </row>
    <row r="62" spans="1:19" x14ac:dyDescent="0.3">
      <c r="E62" s="1">
        <v>5.0999999999999997E-2</v>
      </c>
      <c r="F62" s="1">
        <v>303.14999999999998</v>
      </c>
      <c r="G62" s="1">
        <v>8.9130000000000003</v>
      </c>
      <c r="I62" s="1">
        <v>3.5700000000000003E-2</v>
      </c>
      <c r="J62" s="1">
        <v>323.14999999999998</v>
      </c>
      <c r="K62" s="1">
        <v>3.2309999999999999</v>
      </c>
      <c r="M62" s="1">
        <v>0.2069</v>
      </c>
      <c r="N62" s="1">
        <v>343.15</v>
      </c>
      <c r="O62" s="1">
        <v>32.001399999999997</v>
      </c>
    </row>
    <row r="63" spans="1:19" x14ac:dyDescent="0.3">
      <c r="E63" s="1">
        <v>4.6100000000000002E-2</v>
      </c>
      <c r="F63" s="1">
        <v>303.14999999999998</v>
      </c>
      <c r="G63" s="1">
        <v>7.6936999999999998</v>
      </c>
      <c r="I63" s="1">
        <v>3.1199999999999999E-2</v>
      </c>
      <c r="J63" s="1">
        <v>323.14999999999998</v>
      </c>
      <c r="K63" s="1">
        <v>1.9417</v>
      </c>
      <c r="M63" s="1">
        <v>0.16650000000000001</v>
      </c>
      <c r="N63" s="1">
        <v>343.15</v>
      </c>
      <c r="O63" s="1">
        <v>30.895800000000001</v>
      </c>
    </row>
    <row r="64" spans="1:19" x14ac:dyDescent="0.3">
      <c r="E64" s="1">
        <v>4.1099999999999998E-2</v>
      </c>
      <c r="F64" s="1">
        <v>303.14999999999998</v>
      </c>
      <c r="G64" s="1">
        <v>6.4511000000000003</v>
      </c>
      <c r="I64" s="1">
        <v>2.7300000000000001E-2</v>
      </c>
      <c r="J64" s="1">
        <v>323.14999999999998</v>
      </c>
      <c r="K64" s="1">
        <v>1.2000999999999999</v>
      </c>
      <c r="M64" s="1">
        <v>0.13070000000000001</v>
      </c>
      <c r="N64" s="1">
        <v>343.15</v>
      </c>
      <c r="O64" s="1">
        <v>29.673200000000001</v>
      </c>
    </row>
    <row r="65" spans="5:15" x14ac:dyDescent="0.3">
      <c r="E65" s="1">
        <v>3.6400000000000002E-2</v>
      </c>
      <c r="F65" s="1">
        <v>303.14999999999998</v>
      </c>
      <c r="G65" s="1">
        <v>5.1951999999999998</v>
      </c>
      <c r="I65" s="1">
        <v>2.3900000000000001E-2</v>
      </c>
      <c r="J65" s="1">
        <v>323.14999999999998</v>
      </c>
      <c r="K65" s="1">
        <v>0.79259999999999997</v>
      </c>
      <c r="M65" s="1">
        <v>0.1026</v>
      </c>
      <c r="N65" s="1">
        <v>343.15</v>
      </c>
      <c r="O65" s="1">
        <v>28.12</v>
      </c>
    </row>
    <row r="66" spans="5:15" x14ac:dyDescent="0.3">
      <c r="E66" s="1">
        <v>3.0700000000000002E-2</v>
      </c>
      <c r="F66" s="1">
        <v>303.14999999999998</v>
      </c>
      <c r="G66" s="1">
        <v>3.8056000000000001</v>
      </c>
      <c r="I66" s="1">
        <v>2.1399999999999999E-2</v>
      </c>
      <c r="J66" s="1">
        <v>323.14999999999998</v>
      </c>
      <c r="K66" s="1">
        <v>0.55879999999999996</v>
      </c>
      <c r="M66" s="1">
        <v>8.3799999999999999E-2</v>
      </c>
      <c r="N66" s="1">
        <v>343.15</v>
      </c>
      <c r="O66" s="1">
        <v>26.259399999999999</v>
      </c>
    </row>
    <row r="67" spans="5:15" x14ac:dyDescent="0.3">
      <c r="E67" s="1">
        <v>2.5899999999999999E-2</v>
      </c>
      <c r="F67" s="1">
        <v>303.14999999999998</v>
      </c>
      <c r="G67" s="1">
        <v>2.7166000000000001</v>
      </c>
      <c r="I67" s="1">
        <v>1.9E-2</v>
      </c>
      <c r="J67" s="1">
        <v>323.14999999999998</v>
      </c>
      <c r="K67" s="1">
        <v>0.43180000000000002</v>
      </c>
      <c r="M67" s="1">
        <v>7.1499999999999994E-2</v>
      </c>
      <c r="N67" s="1">
        <v>343.15</v>
      </c>
      <c r="O67" s="1">
        <v>24.131599999999999</v>
      </c>
    </row>
    <row r="68" spans="5:15" x14ac:dyDescent="0.3">
      <c r="E68" s="1">
        <v>2.0500000000000001E-2</v>
      </c>
      <c r="F68" s="1">
        <v>303.14999999999998</v>
      </c>
      <c r="G68" s="1">
        <v>1.6544000000000001</v>
      </c>
      <c r="I68" s="1">
        <v>1.72E-2</v>
      </c>
      <c r="J68" s="1">
        <v>323.14999999999998</v>
      </c>
      <c r="K68" s="1">
        <v>0.3483</v>
      </c>
      <c r="M68" s="1">
        <v>6.3299999999999995E-2</v>
      </c>
      <c r="N68" s="1">
        <v>343.15</v>
      </c>
      <c r="O68" s="1">
        <v>22.040500000000002</v>
      </c>
    </row>
    <row r="69" spans="5:15" x14ac:dyDescent="0.3">
      <c r="E69" s="1">
        <v>1.6400000000000001E-2</v>
      </c>
      <c r="F69" s="1">
        <v>303.14999999999998</v>
      </c>
      <c r="G69" s="1">
        <v>1.0130999999999999</v>
      </c>
      <c r="I69" s="1">
        <v>1.5599999999999999E-2</v>
      </c>
      <c r="J69" s="1">
        <v>323.14999999999998</v>
      </c>
      <c r="K69" s="1">
        <v>0.30159999999999998</v>
      </c>
      <c r="M69" s="1">
        <v>5.8700000000000002E-2</v>
      </c>
      <c r="N69" s="1">
        <v>343.15</v>
      </c>
      <c r="O69" s="1">
        <v>19.942799999999998</v>
      </c>
    </row>
    <row r="70" spans="5:15" x14ac:dyDescent="0.3">
      <c r="E70" s="1">
        <v>1.3100000000000001E-2</v>
      </c>
      <c r="F70" s="1">
        <v>303.14999999999998</v>
      </c>
      <c r="G70" s="1">
        <v>0.64559999999999995</v>
      </c>
      <c r="I70" s="1">
        <v>1.43E-2</v>
      </c>
      <c r="J70" s="1">
        <v>323.14999999999998</v>
      </c>
      <c r="K70" s="1">
        <v>0.27150000000000002</v>
      </c>
      <c r="M70" s="1">
        <v>5.4100000000000002E-2</v>
      </c>
      <c r="N70" s="1">
        <v>343.15</v>
      </c>
      <c r="O70" s="1">
        <v>17.841699999999999</v>
      </c>
    </row>
    <row r="71" spans="5:15" x14ac:dyDescent="0.3">
      <c r="E71" s="1">
        <v>1.03E-2</v>
      </c>
      <c r="F71" s="1">
        <v>303.14999999999998</v>
      </c>
      <c r="G71" s="1">
        <v>0.43519999999999998</v>
      </c>
      <c r="I71" s="1">
        <v>1.3299999999999999E-2</v>
      </c>
      <c r="J71" s="1">
        <v>323.14999999999998</v>
      </c>
      <c r="K71" s="1">
        <v>0.2515</v>
      </c>
      <c r="M71" s="1">
        <v>0.05</v>
      </c>
      <c r="N71" s="1">
        <v>343.15</v>
      </c>
      <c r="O71" s="1">
        <v>15.553599999999999</v>
      </c>
    </row>
    <row r="72" spans="5:15" x14ac:dyDescent="0.3">
      <c r="E72" s="1">
        <v>8.8000000000000005E-3</v>
      </c>
      <c r="F72" s="1">
        <v>303.14999999999998</v>
      </c>
      <c r="G72" s="1">
        <v>0.29149999999999998</v>
      </c>
      <c r="I72" s="1">
        <v>1.23E-2</v>
      </c>
      <c r="J72" s="1">
        <v>323.14999999999998</v>
      </c>
      <c r="K72" s="1">
        <v>0.23810000000000001</v>
      </c>
      <c r="M72" s="1">
        <v>4.4499999999999998E-2</v>
      </c>
      <c r="N72" s="1">
        <v>343.15</v>
      </c>
      <c r="O72" s="1">
        <v>13.198600000000001</v>
      </c>
    </row>
    <row r="73" spans="5:15" x14ac:dyDescent="0.3">
      <c r="M73" s="1">
        <v>4.07E-2</v>
      </c>
      <c r="N73" s="1">
        <v>343.15</v>
      </c>
      <c r="O73" s="1">
        <v>10.9339</v>
      </c>
    </row>
    <row r="74" spans="5:15" x14ac:dyDescent="0.3">
      <c r="M74" s="1">
        <v>3.61E-2</v>
      </c>
      <c r="N74" s="1">
        <v>343.15</v>
      </c>
      <c r="O74" s="1">
        <v>8.7225999999999999</v>
      </c>
    </row>
    <row r="75" spans="5:15" x14ac:dyDescent="0.3">
      <c r="M75" s="1">
        <v>3.0599999999999999E-2</v>
      </c>
      <c r="N75" s="1">
        <v>343.15</v>
      </c>
      <c r="O75" s="1">
        <v>6.4511000000000003</v>
      </c>
    </row>
    <row r="76" spans="5:15" x14ac:dyDescent="0.3">
      <c r="M76" s="1">
        <v>2.41E-2</v>
      </c>
      <c r="N76" s="1">
        <v>343.15</v>
      </c>
      <c r="O76" s="1">
        <v>4.0761000000000003</v>
      </c>
    </row>
    <row r="77" spans="5:15" x14ac:dyDescent="0.3">
      <c r="M77" s="1">
        <v>1.8200000000000001E-2</v>
      </c>
      <c r="N77" s="1">
        <v>343.15</v>
      </c>
      <c r="O77" s="1">
        <v>2.3357999999999999</v>
      </c>
    </row>
    <row r="78" spans="5:15" x14ac:dyDescent="0.3">
      <c r="M78" s="1">
        <v>1.37E-2</v>
      </c>
      <c r="N78" s="1">
        <v>343.15</v>
      </c>
      <c r="O78" s="1">
        <v>1.4072</v>
      </c>
    </row>
    <row r="79" spans="5:15" x14ac:dyDescent="0.3">
      <c r="M79" s="1">
        <v>1.01E-2</v>
      </c>
      <c r="N79" s="1">
        <v>343.15</v>
      </c>
      <c r="O79" s="1">
        <v>0.90949999999999998</v>
      </c>
    </row>
    <row r="80" spans="5:15" x14ac:dyDescent="0.3">
      <c r="M80" s="1">
        <v>7.0350999999999999E-3</v>
      </c>
      <c r="N80" s="1">
        <v>343.15</v>
      </c>
      <c r="O80" s="1">
        <v>0.64229999999999998</v>
      </c>
    </row>
    <row r="81" spans="13:15" x14ac:dyDescent="0.3">
      <c r="M81" s="1">
        <v>4.5739999999999999E-3</v>
      </c>
      <c r="N81" s="1">
        <v>343.15</v>
      </c>
      <c r="O81" s="1">
        <v>0.49199999999999999</v>
      </c>
    </row>
    <row r="82" spans="13:15" x14ac:dyDescent="0.3">
      <c r="M82" s="1">
        <v>3.2737999999999999E-3</v>
      </c>
      <c r="N82" s="1">
        <v>343.15</v>
      </c>
      <c r="O82" s="1">
        <v>0.39169999999999999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F60B-9D9F-4B3B-9D47-8485CEED91C0}">
  <dimension ref="A1:AE260"/>
  <sheetViews>
    <sheetView workbookViewId="0"/>
  </sheetViews>
  <sheetFormatPr baseColWidth="10" defaultRowHeight="14.4" x14ac:dyDescent="0.3"/>
  <cols>
    <col min="1" max="1" width="17.88671875" style="1" customWidth="1"/>
    <col min="2" max="2" width="13.77734375" style="1" customWidth="1"/>
    <col min="3" max="3" width="11.5546875" style="1"/>
    <col min="4" max="4" width="9.44140625" style="1" customWidth="1"/>
    <col min="5" max="5" width="15.77734375" style="1" bestFit="1" customWidth="1"/>
    <col min="6" max="7" width="11.5546875" style="1"/>
    <col min="8" max="8" width="9.44140625" style="1" customWidth="1"/>
    <col min="9" max="9" width="15.77734375" style="1" bestFit="1" customWidth="1"/>
    <col min="10" max="12" width="11.5546875" style="1"/>
    <col min="13" max="13" width="15.77734375" style="1" bestFit="1" customWidth="1"/>
    <col min="14" max="16384" width="11.5546875" style="1"/>
  </cols>
  <sheetData>
    <row r="1" spans="1:31" s="4" customFormat="1" x14ac:dyDescent="0.3">
      <c r="A1" s="3" t="s">
        <v>10</v>
      </c>
      <c r="B1" s="3"/>
      <c r="C1" s="3"/>
    </row>
    <row r="2" spans="1:31" x14ac:dyDescent="0.3">
      <c r="A2" s="2" t="s">
        <v>1</v>
      </c>
      <c r="B2" s="2" t="s">
        <v>2</v>
      </c>
      <c r="C2" s="2" t="s">
        <v>3</v>
      </c>
      <c r="E2" s="2" t="s">
        <v>1</v>
      </c>
      <c r="F2" s="2" t="s">
        <v>2</v>
      </c>
      <c r="G2" s="2" t="s">
        <v>3</v>
      </c>
      <c r="I2" s="2" t="s">
        <v>1</v>
      </c>
      <c r="J2" s="2" t="s">
        <v>2</v>
      </c>
      <c r="K2" s="2" t="s">
        <v>3</v>
      </c>
      <c r="M2" s="2"/>
      <c r="N2" s="2"/>
      <c r="O2" s="2"/>
      <c r="Q2" s="2"/>
      <c r="R2" s="2"/>
      <c r="S2" s="2"/>
      <c r="U2" s="2"/>
      <c r="V2" s="2"/>
      <c r="W2" s="2"/>
      <c r="Y2" s="2"/>
      <c r="Z2" s="2"/>
      <c r="AA2" s="2"/>
      <c r="AC2" s="2"/>
      <c r="AD2" s="2"/>
      <c r="AE2" s="2"/>
    </row>
    <row r="3" spans="1:31" x14ac:dyDescent="0.3">
      <c r="A3" s="2" t="s">
        <v>0</v>
      </c>
      <c r="B3" s="2" t="s">
        <v>4</v>
      </c>
      <c r="C3" s="2" t="s">
        <v>5</v>
      </c>
      <c r="E3" s="2" t="s">
        <v>0</v>
      </c>
      <c r="F3" s="2" t="s">
        <v>4</v>
      </c>
      <c r="G3" s="2" t="s">
        <v>5</v>
      </c>
      <c r="I3" s="2" t="s">
        <v>0</v>
      </c>
      <c r="J3" s="2" t="s">
        <v>4</v>
      </c>
      <c r="K3" s="2" t="s">
        <v>5</v>
      </c>
      <c r="M3" s="2"/>
      <c r="N3" s="2"/>
      <c r="O3" s="2"/>
      <c r="Q3" s="2"/>
      <c r="R3" s="2"/>
      <c r="S3" s="2"/>
      <c r="U3" s="2"/>
      <c r="V3" s="2"/>
      <c r="W3" s="2"/>
      <c r="Y3" s="2"/>
      <c r="Z3" s="2"/>
      <c r="AA3" s="2"/>
      <c r="AC3" s="2"/>
      <c r="AD3" s="2"/>
      <c r="AE3" s="2"/>
    </row>
    <row r="4" spans="1:31" x14ac:dyDescent="0.3">
      <c r="A4" s="1">
        <v>9.9999999999999995E-7</v>
      </c>
      <c r="B4" s="1">
        <f>273.15-4.6</f>
        <v>268.54999999999995</v>
      </c>
      <c r="C4" s="1">
        <v>-3.911114E-4</v>
      </c>
      <c r="E4" s="1">
        <v>9.9999999999999995E-7</v>
      </c>
      <c r="F4" s="1">
        <f>273.15+5.3</f>
        <v>278.45</v>
      </c>
      <c r="G4" s="1">
        <v>-1.0894529999999999E-2</v>
      </c>
      <c r="I4" s="1">
        <v>3.9999999999999998E-6</v>
      </c>
      <c r="J4" s="1">
        <f>273.15+17.8</f>
        <v>290.95</v>
      </c>
      <c r="K4" s="1">
        <v>1.120125E-3</v>
      </c>
      <c r="M4"/>
      <c r="N4"/>
      <c r="O4"/>
      <c r="Q4"/>
      <c r="R4"/>
      <c r="S4"/>
      <c r="U4"/>
      <c r="V4"/>
      <c r="W4"/>
      <c r="Y4"/>
      <c r="Z4"/>
      <c r="AA4"/>
      <c r="AC4"/>
      <c r="AD4"/>
      <c r="AE4"/>
    </row>
    <row r="5" spans="1:31" x14ac:dyDescent="0.3">
      <c r="A5" s="1">
        <v>0.200319</v>
      </c>
      <c r="B5" s="1">
        <f t="shared" ref="B5:B37" si="0">273.15-4.6</f>
        <v>268.54999999999995</v>
      </c>
      <c r="C5" s="1">
        <v>2.495425</v>
      </c>
      <c r="E5" s="1">
        <v>0.184173</v>
      </c>
      <c r="F5" s="1">
        <f>273.15+5.3</f>
        <v>278.45</v>
      </c>
      <c r="G5" s="1">
        <v>2.7695810000000001</v>
      </c>
      <c r="I5" s="1">
        <v>0.180813</v>
      </c>
      <c r="J5" s="1">
        <f t="shared" ref="J5:J38" si="1">273.15+17.8</f>
        <v>290.95</v>
      </c>
      <c r="K5" s="1">
        <v>2.8225419999999999</v>
      </c>
      <c r="M5"/>
      <c r="N5"/>
      <c r="O5"/>
      <c r="Q5"/>
      <c r="R5"/>
      <c r="S5"/>
      <c r="U5"/>
      <c r="V5"/>
      <c r="W5"/>
      <c r="Y5"/>
      <c r="Z5"/>
      <c r="AA5"/>
      <c r="AC5"/>
      <c r="AD5"/>
      <c r="AE5"/>
    </row>
    <row r="6" spans="1:31" x14ac:dyDescent="0.3">
      <c r="A6" s="1">
        <v>0.27796900000000002</v>
      </c>
      <c r="B6" s="1">
        <f t="shared" si="0"/>
        <v>268.54999999999995</v>
      </c>
      <c r="C6" s="1">
        <v>6.4526539999999999</v>
      </c>
      <c r="E6" s="1">
        <v>0.25372</v>
      </c>
      <c r="F6" s="1">
        <f t="shared" ref="F6:F36" si="2">273.15+5.3</f>
        <v>278.45</v>
      </c>
      <c r="G6" s="1">
        <v>6.863111</v>
      </c>
      <c r="I6" s="1">
        <v>0.24437700000000001</v>
      </c>
      <c r="J6" s="1">
        <f t="shared" si="1"/>
        <v>290.95</v>
      </c>
      <c r="K6" s="1">
        <v>7.0235070000000004</v>
      </c>
      <c r="M6"/>
      <c r="N6"/>
      <c r="O6"/>
      <c r="Q6"/>
      <c r="R6"/>
      <c r="S6"/>
      <c r="U6"/>
      <c r="V6"/>
      <c r="W6"/>
      <c r="Y6"/>
      <c r="Z6"/>
      <c r="AA6"/>
      <c r="AC6"/>
      <c r="AD6"/>
      <c r="AE6"/>
    </row>
    <row r="7" spans="1:31" x14ac:dyDescent="0.3">
      <c r="A7" s="1">
        <v>0.33289099999999999</v>
      </c>
      <c r="B7" s="1">
        <f t="shared" si="0"/>
        <v>268.54999999999995</v>
      </c>
      <c r="C7" s="1">
        <v>10.44516</v>
      </c>
      <c r="E7" s="1">
        <v>0.30175099999999999</v>
      </c>
      <c r="F7" s="1">
        <f t="shared" si="2"/>
        <v>278.45</v>
      </c>
      <c r="G7" s="1">
        <v>10.98518</v>
      </c>
      <c r="I7" s="1">
        <v>0.28626600000000002</v>
      </c>
      <c r="J7" s="1">
        <f t="shared" si="1"/>
        <v>290.95</v>
      </c>
      <c r="K7" s="1">
        <v>11.243930000000001</v>
      </c>
      <c r="M7"/>
      <c r="N7"/>
      <c r="O7"/>
      <c r="Q7"/>
      <c r="R7"/>
      <c r="S7"/>
      <c r="U7"/>
      <c r="V7"/>
      <c r="W7"/>
      <c r="Y7"/>
      <c r="Z7"/>
      <c r="AA7"/>
      <c r="AC7"/>
      <c r="AD7"/>
      <c r="AE7"/>
    </row>
    <row r="8" spans="1:31" x14ac:dyDescent="0.3">
      <c r="A8" s="1">
        <v>0.37945499999999999</v>
      </c>
      <c r="B8" s="1">
        <f t="shared" si="0"/>
        <v>268.54999999999995</v>
      </c>
      <c r="C8" s="1">
        <v>14.29894</v>
      </c>
      <c r="E8" s="1">
        <v>0.34186299999999997</v>
      </c>
      <c r="F8" s="1">
        <f t="shared" si="2"/>
        <v>278.45</v>
      </c>
      <c r="G8" s="1">
        <v>14.970409999999999</v>
      </c>
      <c r="I8" s="1">
        <v>0.32027600000000001</v>
      </c>
      <c r="J8" s="1">
        <f t="shared" si="1"/>
        <v>290.95</v>
      </c>
      <c r="K8" s="1">
        <v>15.326589999999999</v>
      </c>
      <c r="M8"/>
      <c r="N8"/>
      <c r="O8"/>
      <c r="Q8"/>
      <c r="R8"/>
      <c r="S8"/>
      <c r="U8"/>
      <c r="V8"/>
      <c r="W8"/>
      <c r="Y8"/>
      <c r="Z8"/>
      <c r="AA8"/>
      <c r="AC8"/>
      <c r="AD8"/>
      <c r="AE8"/>
    </row>
    <row r="9" spans="1:31" x14ac:dyDescent="0.3">
      <c r="A9" s="1">
        <v>0.42490800000000001</v>
      </c>
      <c r="B9" s="1">
        <f t="shared" si="0"/>
        <v>268.54999999999995</v>
      </c>
      <c r="C9" s="1">
        <v>17.941749999999999</v>
      </c>
      <c r="E9" s="1">
        <v>0.37680999999999998</v>
      </c>
      <c r="F9" s="1">
        <f t="shared" si="2"/>
        <v>278.45</v>
      </c>
      <c r="G9" s="1">
        <v>18.76145</v>
      </c>
      <c r="I9" s="1">
        <v>0.34812199999999999</v>
      </c>
      <c r="J9" s="1">
        <f t="shared" si="1"/>
        <v>290.95</v>
      </c>
      <c r="K9" s="1">
        <v>19.214649999999999</v>
      </c>
      <c r="M9"/>
      <c r="N9"/>
      <c r="O9"/>
      <c r="Q9"/>
      <c r="R9"/>
      <c r="S9"/>
      <c r="U9"/>
      <c r="V9"/>
      <c r="W9"/>
      <c r="Y9"/>
      <c r="Z9"/>
      <c r="AA9"/>
      <c r="AC9"/>
      <c r="AD9"/>
      <c r="AE9"/>
    </row>
    <row r="10" spans="1:31" x14ac:dyDescent="0.3">
      <c r="A10" s="1">
        <v>0.51592300000000002</v>
      </c>
      <c r="B10" s="1">
        <f t="shared" si="0"/>
        <v>268.54999999999995</v>
      </c>
      <c r="C10" s="1">
        <v>24.49306</v>
      </c>
      <c r="E10" s="1">
        <v>0.44079800000000002</v>
      </c>
      <c r="F10" s="1">
        <f t="shared" si="2"/>
        <v>278.45</v>
      </c>
      <c r="G10" s="1">
        <v>25.728490000000001</v>
      </c>
      <c r="I10" s="1">
        <v>0.39741300000000002</v>
      </c>
      <c r="J10" s="1">
        <f t="shared" si="1"/>
        <v>290.95</v>
      </c>
      <c r="K10" s="1">
        <v>26.39594</v>
      </c>
      <c r="M10"/>
      <c r="N10"/>
      <c r="O10"/>
      <c r="Q10"/>
      <c r="R10"/>
      <c r="S10"/>
      <c r="U10"/>
      <c r="V10"/>
      <c r="W10"/>
      <c r="Y10"/>
      <c r="Z10"/>
      <c r="AA10"/>
      <c r="AC10"/>
      <c r="AD10"/>
      <c r="AE10"/>
    </row>
    <row r="11" spans="1:31" x14ac:dyDescent="0.3">
      <c r="A11" s="1">
        <v>0.62918600000000002</v>
      </c>
      <c r="B11" s="1">
        <f t="shared" si="0"/>
        <v>268.54999999999995</v>
      </c>
      <c r="C11" s="1">
        <v>29.887899999999998</v>
      </c>
      <c r="E11" s="1">
        <v>0.50610699999999997</v>
      </c>
      <c r="F11" s="1">
        <f t="shared" si="2"/>
        <v>278.45</v>
      </c>
      <c r="G11" s="1">
        <v>31.825500000000002</v>
      </c>
      <c r="I11" s="1">
        <v>0.44276599999999999</v>
      </c>
      <c r="J11" s="1">
        <f t="shared" si="1"/>
        <v>290.95</v>
      </c>
      <c r="K11" s="1">
        <v>32.763089999999998</v>
      </c>
      <c r="M11"/>
      <c r="N11"/>
      <c r="O11"/>
      <c r="Q11"/>
      <c r="R11"/>
      <c r="S11"/>
      <c r="U11"/>
      <c r="V11"/>
      <c r="W11"/>
      <c r="Y11"/>
      <c r="Z11"/>
      <c r="AA11"/>
      <c r="AC11"/>
      <c r="AD11"/>
      <c r="AE11"/>
    </row>
    <row r="12" spans="1:31" x14ac:dyDescent="0.3">
      <c r="A12" s="1">
        <v>0.80128699999999997</v>
      </c>
      <c r="B12" s="1">
        <f t="shared" si="0"/>
        <v>268.54999999999995</v>
      </c>
      <c r="C12" s="1">
        <v>33.707610000000003</v>
      </c>
      <c r="E12" s="1">
        <v>0.57549499999999998</v>
      </c>
      <c r="F12" s="1">
        <f t="shared" si="2"/>
        <v>278.45</v>
      </c>
      <c r="G12" s="1">
        <v>37.07958</v>
      </c>
      <c r="I12" s="1">
        <v>0.48550599999999999</v>
      </c>
      <c r="J12" s="1">
        <f t="shared" si="1"/>
        <v>290.95</v>
      </c>
      <c r="K12" s="1">
        <v>38.36938</v>
      </c>
      <c r="M12"/>
      <c r="N12"/>
      <c r="O12"/>
      <c r="Q12"/>
      <c r="R12"/>
      <c r="S12"/>
      <c r="U12"/>
      <c r="V12"/>
      <c r="W12"/>
      <c r="Y12"/>
      <c r="Z12"/>
      <c r="AA12"/>
      <c r="AC12"/>
      <c r="AD12"/>
      <c r="AE12"/>
    </row>
    <row r="13" spans="1:31" x14ac:dyDescent="0.3">
      <c r="A13" s="1">
        <v>1.0061230000000001</v>
      </c>
      <c r="B13" s="1">
        <f t="shared" si="0"/>
        <v>268.54999999999995</v>
      </c>
      <c r="C13" s="1">
        <v>36.446089999999998</v>
      </c>
      <c r="E13" s="1">
        <v>0.65365600000000001</v>
      </c>
      <c r="F13" s="1">
        <f t="shared" si="2"/>
        <v>278.45</v>
      </c>
      <c r="G13" s="1">
        <v>41.521410000000003</v>
      </c>
      <c r="I13" s="1">
        <v>0.52883199999999997</v>
      </c>
      <c r="J13" s="1">
        <f t="shared" si="1"/>
        <v>290.95</v>
      </c>
      <c r="K13" s="1">
        <v>43.291960000000003</v>
      </c>
      <c r="M13"/>
      <c r="N13"/>
      <c r="O13"/>
      <c r="Q13"/>
      <c r="R13"/>
      <c r="S13"/>
      <c r="U13"/>
      <c r="V13"/>
      <c r="W13"/>
      <c r="Y13"/>
      <c r="Z13"/>
      <c r="AA13"/>
      <c r="AC13"/>
      <c r="AD13"/>
      <c r="AE13"/>
    </row>
    <row r="14" spans="1:31" x14ac:dyDescent="0.3">
      <c r="A14" s="1">
        <v>1.152768</v>
      </c>
      <c r="B14" s="1">
        <f t="shared" si="0"/>
        <v>268.54999999999995</v>
      </c>
      <c r="C14" s="1">
        <v>39.544910000000002</v>
      </c>
      <c r="E14" s="1">
        <v>0.75058599999999998</v>
      </c>
      <c r="F14" s="1">
        <f t="shared" si="2"/>
        <v>278.45</v>
      </c>
      <c r="G14" s="1">
        <v>45.117789999999999</v>
      </c>
      <c r="I14" s="1">
        <v>0.57161300000000004</v>
      </c>
      <c r="J14" s="1">
        <f t="shared" si="1"/>
        <v>290.95</v>
      </c>
      <c r="K14" s="1">
        <v>47.594889999999999</v>
      </c>
      <c r="M14"/>
      <c r="N14"/>
      <c r="O14"/>
      <c r="Q14"/>
      <c r="R14"/>
      <c r="S14"/>
      <c r="U14"/>
      <c r="V14"/>
      <c r="W14"/>
      <c r="Y14"/>
      <c r="Z14"/>
      <c r="AA14"/>
      <c r="AC14"/>
      <c r="AD14"/>
      <c r="AE14"/>
    </row>
    <row r="15" spans="1:31" x14ac:dyDescent="0.3">
      <c r="A15" s="1">
        <v>1.2910159999999999</v>
      </c>
      <c r="B15" s="1">
        <f t="shared" si="0"/>
        <v>268.54999999999995</v>
      </c>
      <c r="C15" s="1">
        <v>44.482239999999997</v>
      </c>
      <c r="E15" s="1">
        <v>0.91856099999999996</v>
      </c>
      <c r="F15" s="1">
        <f t="shared" si="2"/>
        <v>278.45</v>
      </c>
      <c r="G15" s="1">
        <v>49.199080000000002</v>
      </c>
      <c r="I15" s="1">
        <v>0.63616600000000001</v>
      </c>
      <c r="J15" s="1">
        <f t="shared" si="1"/>
        <v>290.95</v>
      </c>
      <c r="K15" s="1">
        <v>53.012340000000002</v>
      </c>
      <c r="M15"/>
      <c r="N15"/>
      <c r="O15"/>
      <c r="Q15"/>
      <c r="R15"/>
      <c r="S15"/>
      <c r="U15"/>
      <c r="V15"/>
      <c r="W15"/>
      <c r="Y15"/>
      <c r="Z15"/>
      <c r="AA15"/>
      <c r="AC15"/>
      <c r="AD15"/>
      <c r="AE15"/>
    </row>
    <row r="16" spans="1:31" x14ac:dyDescent="0.3">
      <c r="A16" s="1">
        <v>1.372647</v>
      </c>
      <c r="B16" s="1">
        <f t="shared" si="0"/>
        <v>268.54999999999995</v>
      </c>
      <c r="C16" s="1">
        <v>49.177770000000002</v>
      </c>
      <c r="E16" s="1">
        <v>1.0640879999999999</v>
      </c>
      <c r="F16" s="1">
        <f t="shared" si="2"/>
        <v>278.45</v>
      </c>
      <c r="G16" s="1">
        <v>52.697609999999997</v>
      </c>
      <c r="I16" s="1">
        <v>0.70350400000000002</v>
      </c>
      <c r="J16" s="1">
        <f t="shared" si="1"/>
        <v>290.95</v>
      </c>
      <c r="K16" s="1">
        <v>57.361350000000002</v>
      </c>
      <c r="M16"/>
      <c r="N16"/>
      <c r="O16"/>
      <c r="Q16"/>
      <c r="R16"/>
      <c r="S16"/>
      <c r="U16"/>
      <c r="V16"/>
      <c r="W16"/>
      <c r="Y16"/>
      <c r="Z16"/>
      <c r="AA16"/>
      <c r="AC16"/>
      <c r="AD16"/>
      <c r="AE16"/>
    </row>
    <row r="17" spans="1:31" x14ac:dyDescent="0.3">
      <c r="A17" s="1">
        <v>1.4364060000000001</v>
      </c>
      <c r="B17" s="1">
        <f t="shared" si="0"/>
        <v>268.54999999999995</v>
      </c>
      <c r="C17" s="1">
        <v>54.71754</v>
      </c>
      <c r="E17" s="1">
        <v>1.189916</v>
      </c>
      <c r="F17" s="1">
        <f t="shared" si="2"/>
        <v>278.45</v>
      </c>
      <c r="G17" s="1">
        <v>57.145659999999999</v>
      </c>
      <c r="I17" s="1">
        <v>0.79653600000000002</v>
      </c>
      <c r="J17" s="1">
        <f t="shared" si="1"/>
        <v>290.95</v>
      </c>
      <c r="K17" s="1">
        <v>61.857080000000003</v>
      </c>
      <c r="M17"/>
      <c r="N17"/>
      <c r="O17"/>
      <c r="Q17"/>
      <c r="R17"/>
      <c r="S17"/>
      <c r="U17"/>
      <c r="V17"/>
      <c r="W17"/>
      <c r="Y17"/>
      <c r="Z17"/>
      <c r="AA17"/>
      <c r="AC17"/>
      <c r="AD17"/>
      <c r="AE17"/>
    </row>
    <row r="18" spans="1:31" x14ac:dyDescent="0.3">
      <c r="A18" s="1">
        <v>1.4806589999999999</v>
      </c>
      <c r="B18" s="1">
        <f t="shared" si="0"/>
        <v>268.54999999999995</v>
      </c>
      <c r="C18" s="1">
        <v>60.279499999999999</v>
      </c>
      <c r="E18" s="1">
        <v>1.282246</v>
      </c>
      <c r="F18" s="1">
        <f t="shared" si="2"/>
        <v>278.45</v>
      </c>
      <c r="G18" s="1">
        <v>61.986539999999998</v>
      </c>
      <c r="I18" s="1">
        <v>0.90321700000000005</v>
      </c>
      <c r="J18" s="1">
        <f t="shared" si="1"/>
        <v>290.95</v>
      </c>
      <c r="K18" s="1">
        <v>65.961340000000007</v>
      </c>
      <c r="M18"/>
      <c r="N18"/>
      <c r="O18"/>
      <c r="Q18"/>
      <c r="R18"/>
      <c r="S18"/>
      <c r="U18"/>
      <c r="V18"/>
      <c r="W18"/>
      <c r="Y18"/>
      <c r="Z18"/>
      <c r="AA18"/>
      <c r="AC18"/>
      <c r="AD18"/>
      <c r="AE18"/>
    </row>
    <row r="19" spans="1:31" x14ac:dyDescent="0.3">
      <c r="A19" s="1">
        <v>1.509182</v>
      </c>
      <c r="B19" s="1">
        <f t="shared" si="0"/>
        <v>268.54999999999995</v>
      </c>
      <c r="C19" s="1">
        <v>65.189040000000006</v>
      </c>
      <c r="E19" s="1">
        <v>1.345639</v>
      </c>
      <c r="F19" s="1">
        <f t="shared" si="2"/>
        <v>278.45</v>
      </c>
      <c r="G19" s="1">
        <v>66.50976</v>
      </c>
      <c r="I19" s="1">
        <v>0.98252799999999996</v>
      </c>
      <c r="J19" s="1">
        <f t="shared" si="1"/>
        <v>290.95</v>
      </c>
      <c r="K19" s="1">
        <v>68.890159999999995</v>
      </c>
      <c r="M19"/>
      <c r="N19"/>
      <c r="O19"/>
      <c r="Q19"/>
      <c r="R19"/>
      <c r="S19"/>
      <c r="U19"/>
      <c r="V19"/>
      <c r="W19"/>
      <c r="Y19"/>
      <c r="Z19"/>
      <c r="AA19"/>
      <c r="AC19"/>
      <c r="AD19"/>
      <c r="AE19"/>
    </row>
    <row r="20" spans="1:31" x14ac:dyDescent="0.3">
      <c r="A20" s="1">
        <v>1.5306500000000001</v>
      </c>
      <c r="B20" s="1">
        <f t="shared" si="0"/>
        <v>268.54999999999995</v>
      </c>
      <c r="C20" s="1">
        <v>70.272989999999993</v>
      </c>
      <c r="E20" s="1">
        <v>1.3908210000000001</v>
      </c>
      <c r="F20" s="1">
        <f t="shared" si="2"/>
        <v>278.45</v>
      </c>
      <c r="G20" s="1">
        <v>71.145870000000002</v>
      </c>
      <c r="I20" s="1">
        <v>1.0554829999999999</v>
      </c>
      <c r="J20" s="1">
        <f t="shared" si="1"/>
        <v>290.95</v>
      </c>
      <c r="K20" s="1">
        <v>72.025559999999999</v>
      </c>
      <c r="M20"/>
      <c r="N20"/>
      <c r="O20"/>
      <c r="Q20"/>
      <c r="R20"/>
      <c r="S20"/>
      <c r="U20"/>
      <c r="V20"/>
      <c r="W20"/>
      <c r="Y20"/>
      <c r="Z20"/>
      <c r="AA20"/>
      <c r="AC20"/>
      <c r="AD20"/>
      <c r="AE20"/>
    </row>
    <row r="21" spans="1:31" x14ac:dyDescent="0.3">
      <c r="A21" s="1">
        <v>1.5472600000000001</v>
      </c>
      <c r="B21" s="1">
        <f t="shared" si="0"/>
        <v>268.54999999999995</v>
      </c>
      <c r="C21" s="1">
        <v>75.142669999999995</v>
      </c>
      <c r="E21" s="1">
        <v>1.4237470000000001</v>
      </c>
      <c r="F21" s="1">
        <f t="shared" si="2"/>
        <v>278.45</v>
      </c>
      <c r="G21" s="1">
        <v>75.614850000000004</v>
      </c>
      <c r="I21" s="1">
        <v>1.124595</v>
      </c>
      <c r="J21" s="1">
        <f t="shared" si="1"/>
        <v>290.95</v>
      </c>
      <c r="K21" s="1">
        <v>75.576080000000005</v>
      </c>
      <c r="M21"/>
      <c r="N21"/>
      <c r="O21"/>
      <c r="Q21"/>
      <c r="R21"/>
      <c r="S21"/>
      <c r="U21"/>
      <c r="V21"/>
      <c r="W21"/>
      <c r="Y21"/>
      <c r="Z21"/>
      <c r="AA21"/>
      <c r="AC21"/>
      <c r="AD21"/>
      <c r="AE21"/>
    </row>
    <row r="22" spans="1:31" x14ac:dyDescent="0.3">
      <c r="A22" s="1">
        <v>1.5608759999999999</v>
      </c>
      <c r="B22" s="1">
        <f t="shared" si="0"/>
        <v>268.54999999999995</v>
      </c>
      <c r="C22" s="1">
        <v>80.300560000000004</v>
      </c>
      <c r="E22" s="1">
        <v>1.4547909999999999</v>
      </c>
      <c r="F22" s="1">
        <f t="shared" si="2"/>
        <v>278.45</v>
      </c>
      <c r="G22" s="1">
        <v>80.378079999999997</v>
      </c>
      <c r="I22" s="1">
        <v>1.1805969999999999</v>
      </c>
      <c r="J22" s="1">
        <f t="shared" si="1"/>
        <v>290.95</v>
      </c>
      <c r="K22" s="1">
        <v>79.141379999999998</v>
      </c>
      <c r="M22"/>
      <c r="N22"/>
      <c r="O22"/>
      <c r="Q22"/>
      <c r="R22"/>
      <c r="S22"/>
      <c r="U22"/>
      <c r="V22"/>
      <c r="W22"/>
      <c r="Y22"/>
      <c r="Z22"/>
      <c r="AA22"/>
      <c r="AC22"/>
      <c r="AD22"/>
      <c r="AE22"/>
    </row>
    <row r="23" spans="1:31" x14ac:dyDescent="0.3">
      <c r="A23" s="1">
        <v>1.5703400000000001</v>
      </c>
      <c r="B23" s="1">
        <f t="shared" si="0"/>
        <v>268.54999999999995</v>
      </c>
      <c r="C23" s="1">
        <v>85.095029999999994</v>
      </c>
      <c r="E23" s="1">
        <v>1.4758789999999999</v>
      </c>
      <c r="F23" s="1">
        <f t="shared" si="2"/>
        <v>278.45</v>
      </c>
      <c r="G23" s="1">
        <v>84.883849999999995</v>
      </c>
      <c r="I23" s="1">
        <v>1.233722</v>
      </c>
      <c r="J23" s="1">
        <f t="shared" si="1"/>
        <v>290.95</v>
      </c>
      <c r="K23" s="1">
        <v>83.039850000000001</v>
      </c>
      <c r="M23"/>
      <c r="N23"/>
      <c r="O23"/>
      <c r="Q23"/>
      <c r="R23"/>
      <c r="S23"/>
      <c r="U23"/>
      <c r="V23"/>
      <c r="W23"/>
      <c r="Y23"/>
      <c r="Z23"/>
      <c r="AA23"/>
      <c r="AC23"/>
      <c r="AD23"/>
      <c r="AE23"/>
    </row>
    <row r="24" spans="1:31" x14ac:dyDescent="0.3">
      <c r="A24" s="1">
        <v>1.577396</v>
      </c>
      <c r="B24" s="1">
        <f t="shared" si="0"/>
        <v>268.54999999999995</v>
      </c>
      <c r="C24" s="1">
        <v>89.496880000000004</v>
      </c>
      <c r="E24" s="1">
        <v>1.490208</v>
      </c>
      <c r="F24" s="1">
        <f t="shared" si="2"/>
        <v>278.45</v>
      </c>
      <c r="G24" s="1">
        <v>89.098519999999994</v>
      </c>
      <c r="I24" s="1">
        <v>1.273191</v>
      </c>
      <c r="J24" s="1">
        <f t="shared" si="1"/>
        <v>290.95</v>
      </c>
      <c r="K24" s="1">
        <v>86.852959999999996</v>
      </c>
      <c r="M24"/>
      <c r="N24"/>
      <c r="O24"/>
      <c r="Q24"/>
      <c r="R24"/>
      <c r="S24"/>
      <c r="U24"/>
      <c r="V24"/>
      <c r="W24"/>
      <c r="Y24"/>
      <c r="Z24"/>
      <c r="AA24"/>
      <c r="AC24"/>
      <c r="AD24"/>
      <c r="AE24"/>
    </row>
    <row r="25" spans="1:31" x14ac:dyDescent="0.3">
      <c r="A25" s="1">
        <v>1.5821670000000001</v>
      </c>
      <c r="B25" s="1">
        <f t="shared" si="0"/>
        <v>268.54999999999995</v>
      </c>
      <c r="C25" s="1">
        <v>93.531210000000002</v>
      </c>
      <c r="E25" s="1">
        <v>1.502289</v>
      </c>
      <c r="F25" s="1">
        <f t="shared" si="2"/>
        <v>278.45</v>
      </c>
      <c r="G25" s="1">
        <v>93.042370000000005</v>
      </c>
      <c r="I25" s="1">
        <v>1.3037570000000001</v>
      </c>
      <c r="J25" s="1">
        <f t="shared" si="1"/>
        <v>290.95</v>
      </c>
      <c r="K25" s="1">
        <v>90.47345</v>
      </c>
      <c r="M25"/>
      <c r="N25"/>
      <c r="O25"/>
      <c r="Q25"/>
      <c r="R25"/>
      <c r="S25"/>
      <c r="U25"/>
      <c r="V25"/>
      <c r="W25"/>
      <c r="Y25"/>
      <c r="Z25"/>
      <c r="AA25"/>
      <c r="AC25"/>
      <c r="AD25"/>
      <c r="AE25"/>
    </row>
    <row r="26" spans="1:31" x14ac:dyDescent="0.3">
      <c r="A26" s="1">
        <v>1.5887530000000001</v>
      </c>
      <c r="B26" s="1">
        <f t="shared" si="0"/>
        <v>268.54999999999995</v>
      </c>
      <c r="C26" s="1">
        <v>100.6272</v>
      </c>
      <c r="E26" s="1">
        <v>1.5165090000000001</v>
      </c>
      <c r="F26" s="1">
        <f t="shared" si="2"/>
        <v>278.45</v>
      </c>
      <c r="G26" s="1">
        <v>100.06319999999999</v>
      </c>
      <c r="I26" s="1">
        <v>1.328832</v>
      </c>
      <c r="J26" s="1">
        <f t="shared" si="1"/>
        <v>290.95</v>
      </c>
      <c r="K26" s="1">
        <v>93.929479999999998</v>
      </c>
      <c r="M26"/>
      <c r="N26"/>
      <c r="O26"/>
      <c r="Q26"/>
      <c r="R26"/>
      <c r="S26"/>
      <c r="U26"/>
      <c r="V26"/>
      <c r="W26"/>
      <c r="Y26"/>
      <c r="Z26"/>
      <c r="AA26"/>
      <c r="AC26"/>
      <c r="AD26"/>
      <c r="AE26"/>
    </row>
    <row r="27" spans="1:31" x14ac:dyDescent="0.3">
      <c r="A27" s="1">
        <v>1.594376</v>
      </c>
      <c r="B27" s="1">
        <f t="shared" si="0"/>
        <v>268.54999999999995</v>
      </c>
      <c r="C27" s="1">
        <v>106.5219</v>
      </c>
      <c r="E27" s="1">
        <v>1.524553</v>
      </c>
      <c r="F27" s="1">
        <f t="shared" si="2"/>
        <v>278.45</v>
      </c>
      <c r="G27" s="1">
        <v>105.99890000000001</v>
      </c>
      <c r="I27" s="1">
        <v>1.3526499999999999</v>
      </c>
      <c r="J27" s="1">
        <f t="shared" si="1"/>
        <v>290.95</v>
      </c>
      <c r="K27" s="1">
        <v>97.208010000000002</v>
      </c>
      <c r="M27"/>
      <c r="N27"/>
      <c r="O27"/>
      <c r="Q27"/>
      <c r="R27"/>
      <c r="S27"/>
      <c r="U27"/>
      <c r="V27"/>
      <c r="W27"/>
      <c r="Y27"/>
      <c r="Z27"/>
      <c r="AA27"/>
      <c r="AC27"/>
      <c r="AD27"/>
      <c r="AE27"/>
    </row>
    <row r="28" spans="1:31" x14ac:dyDescent="0.3">
      <c r="A28" s="1">
        <v>1.597418</v>
      </c>
      <c r="B28" s="1">
        <f t="shared" si="0"/>
        <v>268.54999999999995</v>
      </c>
      <c r="C28" s="1">
        <v>111.41889999999999</v>
      </c>
      <c r="E28" s="1">
        <v>1.5322769999999999</v>
      </c>
      <c r="F28" s="1">
        <f t="shared" si="2"/>
        <v>278.45</v>
      </c>
      <c r="G28" s="1">
        <v>110.9115</v>
      </c>
      <c r="I28" s="1">
        <v>1.379548</v>
      </c>
      <c r="J28" s="1">
        <f t="shared" si="1"/>
        <v>290.95</v>
      </c>
      <c r="K28" s="1">
        <v>103.1397</v>
      </c>
      <c r="M28"/>
      <c r="N28"/>
      <c r="O28"/>
      <c r="Q28"/>
      <c r="R28"/>
      <c r="S28"/>
      <c r="U28"/>
      <c r="V28"/>
      <c r="W28"/>
      <c r="Y28"/>
      <c r="Z28"/>
      <c r="AA28"/>
      <c r="AC28"/>
      <c r="AD28"/>
      <c r="AE28"/>
    </row>
    <row r="29" spans="1:31" x14ac:dyDescent="0.3">
      <c r="A29" s="1">
        <v>1.6014219999999999</v>
      </c>
      <c r="B29" s="1">
        <f t="shared" si="0"/>
        <v>268.54999999999995</v>
      </c>
      <c r="C29" s="1">
        <v>117.2055</v>
      </c>
      <c r="E29" s="1">
        <v>1.537426</v>
      </c>
      <c r="F29" s="1">
        <f t="shared" si="2"/>
        <v>278.45</v>
      </c>
      <c r="G29" s="1">
        <v>116.8027</v>
      </c>
      <c r="I29" s="1">
        <v>1.4038660000000001</v>
      </c>
      <c r="J29" s="1">
        <f t="shared" si="1"/>
        <v>290.95</v>
      </c>
      <c r="K29" s="1">
        <v>108.2162</v>
      </c>
      <c r="M29"/>
      <c r="N29"/>
      <c r="O29"/>
      <c r="Q29"/>
      <c r="R29"/>
      <c r="S29"/>
      <c r="U29"/>
      <c r="V29"/>
      <c r="W29"/>
      <c r="Y29"/>
      <c r="Z29"/>
      <c r="AA29"/>
      <c r="AC29"/>
      <c r="AD29"/>
      <c r="AE29"/>
    </row>
    <row r="30" spans="1:31" x14ac:dyDescent="0.3">
      <c r="A30" s="1">
        <v>1.604185</v>
      </c>
      <c r="B30" s="1">
        <f t="shared" si="0"/>
        <v>268.54999999999995</v>
      </c>
      <c r="C30" s="1">
        <v>122.71420000000001</v>
      </c>
      <c r="E30" s="1">
        <v>1.541158</v>
      </c>
      <c r="F30" s="1">
        <f t="shared" si="2"/>
        <v>278.45</v>
      </c>
      <c r="G30" s="1">
        <v>121.19840000000001</v>
      </c>
      <c r="I30" s="1">
        <v>1.4182349999999999</v>
      </c>
      <c r="J30" s="1">
        <f t="shared" si="1"/>
        <v>290.95</v>
      </c>
      <c r="K30" s="1">
        <v>112.5491</v>
      </c>
      <c r="M30"/>
      <c r="N30"/>
      <c r="O30"/>
      <c r="Q30"/>
      <c r="R30"/>
      <c r="S30"/>
      <c r="U30"/>
      <c r="V30"/>
      <c r="W30"/>
      <c r="Y30"/>
      <c r="Z30"/>
      <c r="AA30"/>
      <c r="AC30"/>
      <c r="AD30"/>
      <c r="AE30"/>
    </row>
    <row r="31" spans="1:31" x14ac:dyDescent="0.3">
      <c r="A31" s="1">
        <v>1.608406</v>
      </c>
      <c r="B31" s="1">
        <f t="shared" si="0"/>
        <v>268.54999999999995</v>
      </c>
      <c r="C31" s="1">
        <v>127.82940000000001</v>
      </c>
      <c r="E31" s="1">
        <v>1.547034</v>
      </c>
      <c r="F31" s="1">
        <f t="shared" si="2"/>
        <v>278.45</v>
      </c>
      <c r="G31" s="1">
        <v>126.2289</v>
      </c>
      <c r="I31" s="1">
        <v>1.4345300000000001</v>
      </c>
      <c r="J31" s="1">
        <f t="shared" si="1"/>
        <v>290.95</v>
      </c>
      <c r="K31" s="1">
        <v>117.79940000000001</v>
      </c>
      <c r="M31"/>
      <c r="N31"/>
      <c r="O31"/>
      <c r="Q31"/>
      <c r="R31"/>
      <c r="S31"/>
      <c r="U31"/>
      <c r="V31"/>
      <c r="W31"/>
      <c r="Y31"/>
      <c r="Z31"/>
      <c r="AA31"/>
      <c r="AC31"/>
      <c r="AD31"/>
      <c r="AE31"/>
    </row>
    <row r="32" spans="1:31" x14ac:dyDescent="0.3">
      <c r="A32" s="1">
        <v>1.6112150000000001</v>
      </c>
      <c r="B32" s="1">
        <f t="shared" si="0"/>
        <v>268.54999999999995</v>
      </c>
      <c r="C32" s="1">
        <v>131.7929</v>
      </c>
      <c r="E32" s="1">
        <v>1.550046</v>
      </c>
      <c r="F32" s="1">
        <f t="shared" si="2"/>
        <v>278.45</v>
      </c>
      <c r="G32" s="1">
        <v>130.93270000000001</v>
      </c>
      <c r="I32" s="1">
        <v>1.446833</v>
      </c>
      <c r="J32" s="1">
        <f t="shared" si="1"/>
        <v>290.95</v>
      </c>
      <c r="K32" s="1">
        <v>122.934</v>
      </c>
      <c r="M32"/>
      <c r="N32"/>
      <c r="O32"/>
      <c r="Q32"/>
      <c r="R32"/>
      <c r="S32"/>
      <c r="U32"/>
      <c r="V32"/>
      <c r="W32"/>
      <c r="Y32"/>
      <c r="Z32"/>
      <c r="AA32"/>
      <c r="AC32"/>
      <c r="AD32"/>
      <c r="AE32"/>
    </row>
    <row r="33" spans="1:31" x14ac:dyDescent="0.3">
      <c r="A33" s="1">
        <v>1.6135930000000001</v>
      </c>
      <c r="B33" s="1">
        <f t="shared" si="0"/>
        <v>268.54999999999995</v>
      </c>
      <c r="C33" s="1">
        <v>136.95310000000001</v>
      </c>
      <c r="E33" s="1">
        <v>1.557447</v>
      </c>
      <c r="F33" s="1">
        <f t="shared" si="2"/>
        <v>278.45</v>
      </c>
      <c r="G33" s="1">
        <v>136.4246</v>
      </c>
      <c r="I33" s="1">
        <v>1.4571179999999999</v>
      </c>
      <c r="J33" s="1">
        <f t="shared" si="1"/>
        <v>290.95</v>
      </c>
      <c r="K33" s="1">
        <v>127.8259</v>
      </c>
      <c r="M33"/>
      <c r="N33"/>
      <c r="O33"/>
      <c r="Q33"/>
      <c r="R33"/>
      <c r="S33"/>
      <c r="U33"/>
      <c r="V33"/>
      <c r="W33"/>
      <c r="Y33"/>
      <c r="Z33"/>
      <c r="AA33"/>
      <c r="AC33"/>
      <c r="AD33"/>
      <c r="AE33"/>
    </row>
    <row r="34" spans="1:31" x14ac:dyDescent="0.3">
      <c r="A34" s="1">
        <v>1.616479</v>
      </c>
      <c r="B34" s="1">
        <f t="shared" si="0"/>
        <v>268.54999999999995</v>
      </c>
      <c r="C34" s="1">
        <v>141.8974</v>
      </c>
      <c r="E34" s="1">
        <v>1.5607800000000001</v>
      </c>
      <c r="F34" s="1">
        <f t="shared" si="2"/>
        <v>278.45</v>
      </c>
      <c r="G34" s="1">
        <v>141.68889999999999</v>
      </c>
      <c r="I34" s="1">
        <v>1.4642409999999999</v>
      </c>
      <c r="J34" s="1">
        <f t="shared" si="1"/>
        <v>290.95</v>
      </c>
      <c r="K34" s="1">
        <v>131.71270000000001</v>
      </c>
      <c r="M34"/>
      <c r="N34"/>
      <c r="O34"/>
      <c r="Q34"/>
      <c r="R34"/>
      <c r="S34"/>
      <c r="U34"/>
      <c r="V34"/>
      <c r="W34"/>
      <c r="Y34"/>
      <c r="Z34"/>
      <c r="AA34"/>
      <c r="AC34"/>
      <c r="AD34"/>
      <c r="AE34"/>
    </row>
    <row r="35" spans="1:31" x14ac:dyDescent="0.3">
      <c r="A35" s="1">
        <v>1.618859</v>
      </c>
      <c r="B35" s="1">
        <f t="shared" si="0"/>
        <v>268.54999999999995</v>
      </c>
      <c r="C35" s="1">
        <v>146.44810000000001</v>
      </c>
      <c r="E35" s="1">
        <v>1.5638399999999999</v>
      </c>
      <c r="F35" s="1">
        <f t="shared" si="2"/>
        <v>278.45</v>
      </c>
      <c r="G35" s="1">
        <v>146.54689999999999</v>
      </c>
      <c r="I35" s="1">
        <v>1.4757210000000001</v>
      </c>
      <c r="J35" s="1">
        <f t="shared" si="1"/>
        <v>290.95</v>
      </c>
      <c r="K35" s="1">
        <v>136.9213</v>
      </c>
      <c r="M35"/>
      <c r="N35"/>
      <c r="O35"/>
      <c r="Q35"/>
      <c r="R35"/>
      <c r="S35"/>
      <c r="U35"/>
      <c r="V35"/>
      <c r="W35"/>
      <c r="Y35"/>
      <c r="Z35"/>
      <c r="AA35"/>
      <c r="AC35"/>
      <c r="AD35"/>
      <c r="AE35"/>
    </row>
    <row r="36" spans="1:31" x14ac:dyDescent="0.3">
      <c r="A36" s="1">
        <v>1.6211819999999999</v>
      </c>
      <c r="B36" s="1">
        <f t="shared" si="0"/>
        <v>268.54999999999995</v>
      </c>
      <c r="C36" s="1">
        <v>149.96899999999999</v>
      </c>
      <c r="E36" s="1">
        <v>1.5666899999999999</v>
      </c>
      <c r="F36" s="1">
        <f t="shared" si="2"/>
        <v>278.45</v>
      </c>
      <c r="G36" s="1">
        <v>150.3426</v>
      </c>
      <c r="I36" s="1">
        <v>1.4834499999999999</v>
      </c>
      <c r="J36" s="1">
        <f t="shared" si="1"/>
        <v>290.95</v>
      </c>
      <c r="K36" s="1">
        <v>141.9562</v>
      </c>
      <c r="M36"/>
      <c r="N36"/>
      <c r="O36"/>
      <c r="Q36"/>
      <c r="R36"/>
      <c r="S36"/>
      <c r="U36"/>
      <c r="V36"/>
      <c r="W36"/>
      <c r="Y36"/>
      <c r="Z36"/>
      <c r="AA36"/>
      <c r="AC36"/>
      <c r="AD36"/>
      <c r="AE36"/>
    </row>
    <row r="37" spans="1:31" x14ac:dyDescent="0.3">
      <c r="A37" s="1">
        <v>1.6263650000000001</v>
      </c>
      <c r="B37" s="1">
        <f t="shared" si="0"/>
        <v>268.54999999999995</v>
      </c>
      <c r="C37" s="1">
        <v>154.12870000000001</v>
      </c>
      <c r="E37"/>
      <c r="F37"/>
      <c r="G37"/>
      <c r="I37" s="1">
        <v>1.4892890000000001</v>
      </c>
      <c r="J37" s="1">
        <f t="shared" si="1"/>
        <v>290.95</v>
      </c>
      <c r="K37" s="1">
        <v>146.65379999999999</v>
      </c>
      <c r="M37"/>
      <c r="N37"/>
      <c r="O37"/>
      <c r="Q37"/>
      <c r="R37"/>
      <c r="S37"/>
      <c r="U37"/>
      <c r="V37"/>
      <c r="W37"/>
      <c r="Y37"/>
      <c r="Z37"/>
      <c r="AA37"/>
      <c r="AC37"/>
      <c r="AD37"/>
      <c r="AE37"/>
    </row>
    <row r="38" spans="1:31" x14ac:dyDescent="0.3">
      <c r="E38"/>
      <c r="F38"/>
      <c r="G38"/>
      <c r="I38" s="1">
        <v>1.495484</v>
      </c>
      <c r="J38" s="1">
        <f t="shared" si="1"/>
        <v>290.95</v>
      </c>
      <c r="K38" s="1">
        <v>150.35720000000001</v>
      </c>
      <c r="M38"/>
      <c r="N38"/>
      <c r="O38"/>
      <c r="Q38"/>
      <c r="R38"/>
      <c r="S38"/>
      <c r="U38"/>
      <c r="V38"/>
      <c r="W38"/>
      <c r="Y38"/>
      <c r="Z38"/>
      <c r="AA38"/>
      <c r="AC38"/>
      <c r="AD38"/>
      <c r="AE38"/>
    </row>
    <row r="39" spans="1:31" x14ac:dyDescent="0.3">
      <c r="E39"/>
      <c r="F39"/>
      <c r="G39"/>
      <c r="M39"/>
      <c r="N39"/>
      <c r="O39"/>
      <c r="Q39"/>
      <c r="R39"/>
      <c r="S39"/>
      <c r="U39"/>
      <c r="V39"/>
      <c r="W39"/>
      <c r="Y39"/>
      <c r="Z39"/>
      <c r="AA39"/>
      <c r="AC39"/>
      <c r="AD39"/>
      <c r="AE39"/>
    </row>
    <row r="40" spans="1:31" x14ac:dyDescent="0.3">
      <c r="E40"/>
      <c r="F40"/>
      <c r="G40"/>
      <c r="M40"/>
      <c r="N40"/>
      <c r="O40"/>
      <c r="Q40"/>
      <c r="R40"/>
      <c r="S40"/>
      <c r="U40"/>
      <c r="V40"/>
      <c r="W40"/>
      <c r="Y40"/>
      <c r="Z40"/>
      <c r="AA40"/>
      <c r="AC40"/>
      <c r="AD40"/>
      <c r="AE40"/>
    </row>
    <row r="41" spans="1:31" x14ac:dyDescent="0.3">
      <c r="E41"/>
      <c r="F41"/>
      <c r="G41"/>
      <c r="M41"/>
      <c r="N41"/>
      <c r="O41"/>
      <c r="Q41"/>
      <c r="R41"/>
      <c r="S41"/>
      <c r="U41"/>
      <c r="V41"/>
      <c r="W41"/>
      <c r="Y41"/>
      <c r="Z41"/>
      <c r="AA41"/>
      <c r="AC41"/>
      <c r="AD41"/>
      <c r="AE41"/>
    </row>
    <row r="42" spans="1:31" x14ac:dyDescent="0.3">
      <c r="E42"/>
      <c r="F42"/>
      <c r="G42"/>
      <c r="M42"/>
      <c r="N42"/>
      <c r="O42"/>
      <c r="Q42"/>
      <c r="R42"/>
      <c r="S42"/>
      <c r="U42"/>
      <c r="V42"/>
      <c r="W42"/>
      <c r="AC42"/>
      <c r="AD42"/>
      <c r="AE42"/>
    </row>
    <row r="43" spans="1:31" x14ac:dyDescent="0.3">
      <c r="E43"/>
      <c r="F43"/>
      <c r="G43"/>
      <c r="M43"/>
      <c r="N43"/>
      <c r="O43"/>
      <c r="Q43"/>
      <c r="R43"/>
      <c r="S43"/>
      <c r="U43"/>
      <c r="V43"/>
      <c r="W43"/>
      <c r="AC43"/>
      <c r="AD43"/>
      <c r="AE43"/>
    </row>
    <row r="44" spans="1:31" x14ac:dyDescent="0.3">
      <c r="E44"/>
      <c r="F44"/>
      <c r="G44"/>
      <c r="M44"/>
      <c r="N44"/>
      <c r="O44"/>
      <c r="Q44"/>
      <c r="R44"/>
      <c r="S44"/>
      <c r="U44"/>
      <c r="V44"/>
      <c r="W44"/>
      <c r="AC44"/>
      <c r="AD44"/>
      <c r="AE44"/>
    </row>
    <row r="45" spans="1:31" x14ac:dyDescent="0.3">
      <c r="E45"/>
      <c r="F45"/>
      <c r="G45"/>
      <c r="M45"/>
      <c r="N45"/>
      <c r="O45"/>
      <c r="Q45"/>
      <c r="R45"/>
      <c r="S45"/>
      <c r="U45"/>
      <c r="V45"/>
      <c r="W45"/>
      <c r="AC45"/>
      <c r="AD45"/>
      <c r="AE45"/>
    </row>
    <row r="46" spans="1:31" x14ac:dyDescent="0.3">
      <c r="E46"/>
      <c r="F46"/>
      <c r="G46"/>
      <c r="M46"/>
      <c r="N46"/>
      <c r="O46"/>
      <c r="Q46"/>
      <c r="R46"/>
      <c r="S46"/>
      <c r="U46"/>
      <c r="V46"/>
      <c r="W46"/>
      <c r="AC46"/>
      <c r="AD46"/>
      <c r="AE46"/>
    </row>
    <row r="47" spans="1:31" x14ac:dyDescent="0.3">
      <c r="E47"/>
      <c r="F47"/>
      <c r="G47"/>
      <c r="M47"/>
      <c r="N47"/>
      <c r="O47"/>
      <c r="Q47"/>
      <c r="R47"/>
      <c r="S47"/>
      <c r="U47"/>
      <c r="V47"/>
      <c r="W47"/>
    </row>
    <row r="48" spans="1:31" x14ac:dyDescent="0.3">
      <c r="E48"/>
      <c r="F48"/>
      <c r="G48"/>
      <c r="M48"/>
      <c r="N48"/>
      <c r="O48"/>
      <c r="Q48"/>
      <c r="R48"/>
      <c r="S48"/>
      <c r="U48"/>
      <c r="V48"/>
      <c r="W48"/>
    </row>
    <row r="49" spans="5:23" x14ac:dyDescent="0.3">
      <c r="E49"/>
      <c r="F49"/>
      <c r="G49"/>
      <c r="M49"/>
      <c r="N49"/>
      <c r="O49"/>
      <c r="Q49"/>
      <c r="R49"/>
      <c r="S49"/>
      <c r="U49"/>
      <c r="V49"/>
      <c r="W49"/>
    </row>
    <row r="50" spans="5:23" x14ac:dyDescent="0.3">
      <c r="E50"/>
      <c r="F50"/>
      <c r="G50"/>
      <c r="M50"/>
      <c r="N50"/>
      <c r="O50"/>
      <c r="Q50"/>
      <c r="R50"/>
      <c r="S50"/>
      <c r="U50"/>
      <c r="V50"/>
      <c r="W50"/>
    </row>
    <row r="51" spans="5:23" x14ac:dyDescent="0.3">
      <c r="E51"/>
      <c r="F51"/>
      <c r="G51"/>
      <c r="M51"/>
      <c r="N51"/>
      <c r="O51"/>
      <c r="Q51"/>
      <c r="R51"/>
      <c r="S51"/>
      <c r="U51"/>
      <c r="V51"/>
      <c r="W51"/>
    </row>
    <row r="52" spans="5:23" x14ac:dyDescent="0.3">
      <c r="E52"/>
      <c r="F52"/>
      <c r="G52"/>
      <c r="M52"/>
      <c r="N52"/>
      <c r="O52"/>
      <c r="Q52"/>
      <c r="R52"/>
      <c r="S52"/>
      <c r="U52"/>
      <c r="V52"/>
      <c r="W52"/>
    </row>
    <row r="53" spans="5:23" x14ac:dyDescent="0.3">
      <c r="E53"/>
      <c r="F53"/>
      <c r="G53"/>
      <c r="M53"/>
      <c r="N53"/>
      <c r="O53"/>
      <c r="Q53"/>
      <c r="R53"/>
      <c r="S53"/>
      <c r="U53"/>
      <c r="V53"/>
      <c r="W53"/>
    </row>
    <row r="54" spans="5:23" x14ac:dyDescent="0.3">
      <c r="E54"/>
      <c r="F54"/>
      <c r="G54"/>
      <c r="M54"/>
      <c r="N54"/>
      <c r="O54"/>
      <c r="Q54"/>
      <c r="R54"/>
      <c r="S54"/>
      <c r="U54"/>
      <c r="V54"/>
      <c r="W54"/>
    </row>
    <row r="55" spans="5:23" x14ac:dyDescent="0.3">
      <c r="E55"/>
      <c r="F55"/>
      <c r="G55"/>
      <c r="M55"/>
      <c r="N55"/>
      <c r="O55"/>
      <c r="Q55"/>
      <c r="R55"/>
      <c r="S55"/>
      <c r="U55"/>
      <c r="V55"/>
      <c r="W55"/>
    </row>
    <row r="56" spans="5:23" x14ac:dyDescent="0.3">
      <c r="E56"/>
      <c r="F56"/>
      <c r="G56"/>
      <c r="M56"/>
      <c r="N56"/>
      <c r="O56"/>
      <c r="Q56"/>
      <c r="R56"/>
      <c r="S56"/>
      <c r="U56"/>
      <c r="V56"/>
      <c r="W56"/>
    </row>
    <row r="57" spans="5:23" x14ac:dyDescent="0.3">
      <c r="E57"/>
      <c r="F57"/>
      <c r="G57"/>
      <c r="M57"/>
      <c r="N57"/>
      <c r="O57"/>
      <c r="Q57"/>
      <c r="R57"/>
      <c r="S57"/>
      <c r="U57"/>
      <c r="V57"/>
      <c r="W57"/>
    </row>
    <row r="58" spans="5:23" x14ac:dyDescent="0.3">
      <c r="E58"/>
      <c r="F58"/>
      <c r="G58"/>
      <c r="M58"/>
      <c r="N58"/>
      <c r="O58"/>
      <c r="Q58"/>
      <c r="R58"/>
      <c r="S58"/>
      <c r="U58"/>
      <c r="V58"/>
      <c r="W58"/>
    </row>
    <row r="59" spans="5:23" x14ac:dyDescent="0.3">
      <c r="E59"/>
      <c r="F59"/>
      <c r="G59"/>
      <c r="M59"/>
      <c r="N59"/>
      <c r="O59"/>
      <c r="Q59"/>
      <c r="R59"/>
      <c r="S59"/>
      <c r="U59"/>
      <c r="V59"/>
      <c r="W59"/>
    </row>
    <row r="60" spans="5:23" x14ac:dyDescent="0.3">
      <c r="E60"/>
      <c r="F60"/>
      <c r="G60"/>
      <c r="M60"/>
      <c r="N60"/>
      <c r="O60"/>
      <c r="Q60"/>
      <c r="R60"/>
      <c r="S60"/>
      <c r="U60"/>
      <c r="V60"/>
      <c r="W60"/>
    </row>
    <row r="61" spans="5:23" x14ac:dyDescent="0.3">
      <c r="E61"/>
      <c r="F61"/>
      <c r="G61"/>
      <c r="M61"/>
      <c r="N61"/>
      <c r="O61"/>
      <c r="Q61"/>
      <c r="R61"/>
      <c r="S61"/>
      <c r="U61"/>
      <c r="V61"/>
      <c r="W61"/>
    </row>
    <row r="62" spans="5:23" x14ac:dyDescent="0.3">
      <c r="E62"/>
      <c r="F62"/>
      <c r="G62"/>
      <c r="M62"/>
      <c r="N62"/>
      <c r="O62"/>
      <c r="Q62"/>
      <c r="R62"/>
      <c r="S62"/>
      <c r="U62"/>
      <c r="V62"/>
      <c r="W62"/>
    </row>
    <row r="63" spans="5:23" x14ac:dyDescent="0.3">
      <c r="E63"/>
      <c r="F63"/>
      <c r="G63"/>
      <c r="M63"/>
      <c r="N63"/>
      <c r="O63"/>
      <c r="Q63"/>
      <c r="R63"/>
      <c r="S63"/>
      <c r="U63"/>
      <c r="V63"/>
      <c r="W63"/>
    </row>
    <row r="64" spans="5:23" x14ac:dyDescent="0.3">
      <c r="E64"/>
      <c r="F64"/>
      <c r="G64"/>
      <c r="M64"/>
      <c r="N64"/>
      <c r="O64"/>
      <c r="Q64"/>
      <c r="R64"/>
      <c r="S64"/>
      <c r="U64"/>
      <c r="V64"/>
      <c r="W64"/>
    </row>
    <row r="65" spans="5:23" x14ac:dyDescent="0.3">
      <c r="E65"/>
      <c r="F65"/>
      <c r="G65"/>
      <c r="M65"/>
      <c r="N65"/>
      <c r="O65"/>
      <c r="Q65"/>
      <c r="R65"/>
      <c r="S65"/>
      <c r="U65"/>
      <c r="V65"/>
      <c r="W65"/>
    </row>
    <row r="66" spans="5:23" x14ac:dyDescent="0.3">
      <c r="E66"/>
      <c r="F66"/>
      <c r="G66"/>
      <c r="M66"/>
      <c r="N66"/>
      <c r="O66"/>
      <c r="Q66"/>
      <c r="R66"/>
      <c r="S66"/>
      <c r="U66"/>
      <c r="V66"/>
      <c r="W66"/>
    </row>
    <row r="67" spans="5:23" x14ac:dyDescent="0.3">
      <c r="E67"/>
      <c r="F67"/>
      <c r="G67"/>
      <c r="M67"/>
      <c r="N67"/>
      <c r="O67"/>
      <c r="Q67"/>
      <c r="R67"/>
      <c r="S67"/>
      <c r="U67"/>
      <c r="V67"/>
      <c r="W67"/>
    </row>
    <row r="68" spans="5:23" x14ac:dyDescent="0.3">
      <c r="E68"/>
      <c r="F68"/>
      <c r="G68"/>
      <c r="M68"/>
      <c r="N68"/>
      <c r="O68"/>
      <c r="Q68"/>
      <c r="R68"/>
      <c r="S68"/>
      <c r="U68"/>
      <c r="V68"/>
      <c r="W68"/>
    </row>
    <row r="69" spans="5:23" x14ac:dyDescent="0.3">
      <c r="E69"/>
      <c r="F69"/>
      <c r="G69"/>
      <c r="M69"/>
      <c r="N69"/>
      <c r="O69"/>
      <c r="Q69"/>
      <c r="R69"/>
      <c r="S69"/>
      <c r="U69"/>
      <c r="V69"/>
      <c r="W69"/>
    </row>
    <row r="70" spans="5:23" x14ac:dyDescent="0.3">
      <c r="E70"/>
      <c r="F70"/>
      <c r="G70"/>
      <c r="M70"/>
      <c r="N70"/>
      <c r="O70"/>
      <c r="Q70"/>
      <c r="R70"/>
      <c r="S70"/>
      <c r="U70"/>
      <c r="V70"/>
      <c r="W70"/>
    </row>
    <row r="71" spans="5:23" x14ac:dyDescent="0.3">
      <c r="E71"/>
      <c r="F71"/>
      <c r="G71"/>
      <c r="M71"/>
      <c r="N71"/>
      <c r="O71"/>
      <c r="Q71"/>
      <c r="R71"/>
      <c r="S71"/>
      <c r="U71"/>
      <c r="V71"/>
      <c r="W71"/>
    </row>
    <row r="72" spans="5:23" x14ac:dyDescent="0.3">
      <c r="E72"/>
      <c r="F72"/>
      <c r="G72"/>
      <c r="M72"/>
      <c r="N72"/>
      <c r="O72"/>
      <c r="Q72"/>
      <c r="R72"/>
      <c r="S72"/>
      <c r="U72"/>
      <c r="V72"/>
      <c r="W72"/>
    </row>
    <row r="73" spans="5:23" x14ac:dyDescent="0.3">
      <c r="E73"/>
      <c r="F73"/>
      <c r="G73"/>
      <c r="M73"/>
      <c r="N73"/>
      <c r="O73"/>
      <c r="Q73"/>
      <c r="R73"/>
      <c r="S73"/>
      <c r="U73"/>
      <c r="V73"/>
      <c r="W73"/>
    </row>
    <row r="74" spans="5:23" x14ac:dyDescent="0.3">
      <c r="E74"/>
      <c r="F74"/>
      <c r="G74"/>
      <c r="M74"/>
      <c r="N74"/>
      <c r="O74"/>
      <c r="Q74"/>
      <c r="R74"/>
      <c r="S74"/>
      <c r="U74"/>
      <c r="V74"/>
      <c r="W74"/>
    </row>
    <row r="75" spans="5:23" x14ac:dyDescent="0.3">
      <c r="E75"/>
      <c r="F75"/>
      <c r="G75"/>
      <c r="M75"/>
      <c r="N75"/>
      <c r="O75"/>
      <c r="Q75"/>
      <c r="R75"/>
      <c r="S75"/>
      <c r="U75"/>
      <c r="V75"/>
      <c r="W75"/>
    </row>
    <row r="76" spans="5:23" x14ac:dyDescent="0.3">
      <c r="E76"/>
      <c r="F76"/>
      <c r="G76"/>
      <c r="M76"/>
      <c r="N76"/>
      <c r="O76"/>
      <c r="Q76"/>
      <c r="R76"/>
      <c r="S76"/>
      <c r="U76"/>
      <c r="V76"/>
      <c r="W76"/>
    </row>
    <row r="77" spans="5:23" x14ac:dyDescent="0.3">
      <c r="E77"/>
      <c r="F77"/>
      <c r="G77"/>
      <c r="M77"/>
      <c r="N77"/>
      <c r="O77"/>
      <c r="Q77"/>
      <c r="R77"/>
      <c r="S77"/>
      <c r="U77"/>
      <c r="V77"/>
      <c r="W77"/>
    </row>
    <row r="78" spans="5:23" x14ac:dyDescent="0.3">
      <c r="E78"/>
      <c r="F78"/>
      <c r="G78"/>
      <c r="M78"/>
      <c r="N78"/>
      <c r="O78"/>
      <c r="Q78"/>
      <c r="R78"/>
      <c r="S78"/>
      <c r="U78"/>
      <c r="V78"/>
      <c r="W78"/>
    </row>
    <row r="79" spans="5:23" x14ac:dyDescent="0.3">
      <c r="E79"/>
      <c r="F79"/>
      <c r="G79"/>
      <c r="M79"/>
      <c r="N79"/>
      <c r="O79"/>
      <c r="Q79"/>
      <c r="R79"/>
      <c r="S79"/>
      <c r="U79"/>
      <c r="V79"/>
      <c r="W79"/>
    </row>
    <row r="80" spans="5:23" x14ac:dyDescent="0.3">
      <c r="E80"/>
      <c r="F80"/>
      <c r="G80"/>
      <c r="M80"/>
      <c r="N80"/>
      <c r="O80"/>
      <c r="Q80"/>
      <c r="R80"/>
      <c r="S80"/>
      <c r="U80"/>
      <c r="V80"/>
      <c r="W80"/>
    </row>
    <row r="81" spans="5:23" x14ac:dyDescent="0.3">
      <c r="E81"/>
      <c r="F81"/>
      <c r="G81"/>
      <c r="M81"/>
      <c r="N81"/>
      <c r="O81"/>
      <c r="Q81"/>
      <c r="R81"/>
      <c r="S81"/>
      <c r="U81"/>
      <c r="V81"/>
      <c r="W81"/>
    </row>
    <row r="82" spans="5:23" x14ac:dyDescent="0.3">
      <c r="E82"/>
      <c r="F82"/>
      <c r="G82"/>
      <c r="M82"/>
      <c r="N82"/>
      <c r="O82"/>
      <c r="Q82"/>
      <c r="R82"/>
      <c r="S82"/>
      <c r="U82"/>
      <c r="V82"/>
      <c r="W82"/>
    </row>
    <row r="83" spans="5:23" x14ac:dyDescent="0.3">
      <c r="E83"/>
      <c r="F83"/>
      <c r="G83"/>
      <c r="M83"/>
      <c r="N83"/>
      <c r="O83"/>
      <c r="Q83"/>
      <c r="R83"/>
      <c r="S83"/>
      <c r="U83"/>
      <c r="V83"/>
      <c r="W83"/>
    </row>
    <row r="84" spans="5:23" x14ac:dyDescent="0.3">
      <c r="E84"/>
      <c r="F84"/>
      <c r="G84"/>
      <c r="M84"/>
      <c r="N84"/>
      <c r="O84"/>
      <c r="Q84"/>
      <c r="R84"/>
      <c r="S84"/>
      <c r="U84"/>
      <c r="V84"/>
      <c r="W84"/>
    </row>
    <row r="85" spans="5:23" x14ac:dyDescent="0.3">
      <c r="E85"/>
      <c r="F85"/>
      <c r="G85"/>
      <c r="M85"/>
      <c r="N85"/>
      <c r="O85"/>
      <c r="Q85"/>
      <c r="R85"/>
      <c r="S85"/>
      <c r="U85"/>
      <c r="V85"/>
      <c r="W85"/>
    </row>
    <row r="86" spans="5:23" x14ac:dyDescent="0.3">
      <c r="E86"/>
      <c r="F86"/>
      <c r="G86"/>
      <c r="M86"/>
      <c r="N86"/>
      <c r="O86"/>
      <c r="Q86"/>
      <c r="R86"/>
      <c r="S86"/>
      <c r="U86"/>
      <c r="V86"/>
      <c r="W86"/>
    </row>
    <row r="87" spans="5:23" x14ac:dyDescent="0.3">
      <c r="E87"/>
      <c r="F87"/>
      <c r="G87"/>
      <c r="M87"/>
      <c r="N87"/>
      <c r="O87"/>
      <c r="Q87"/>
      <c r="R87"/>
      <c r="S87"/>
      <c r="U87"/>
      <c r="V87"/>
      <c r="W87"/>
    </row>
    <row r="88" spans="5:23" x14ac:dyDescent="0.3">
      <c r="E88"/>
      <c r="F88"/>
      <c r="G88"/>
      <c r="M88"/>
      <c r="N88"/>
      <c r="O88"/>
      <c r="Q88"/>
      <c r="R88"/>
      <c r="S88"/>
      <c r="U88"/>
      <c r="V88"/>
      <c r="W88"/>
    </row>
    <row r="89" spans="5:23" x14ac:dyDescent="0.3">
      <c r="E89"/>
      <c r="F89"/>
      <c r="G89"/>
      <c r="M89"/>
      <c r="N89"/>
      <c r="O89"/>
      <c r="Q89"/>
      <c r="R89"/>
      <c r="S89"/>
      <c r="U89"/>
      <c r="V89"/>
      <c r="W89"/>
    </row>
    <row r="90" spans="5:23" x14ac:dyDescent="0.3">
      <c r="E90"/>
      <c r="F90"/>
      <c r="G90"/>
      <c r="M90"/>
      <c r="N90"/>
      <c r="O90"/>
      <c r="Q90"/>
      <c r="R90"/>
      <c r="S90"/>
      <c r="U90"/>
      <c r="V90"/>
      <c r="W90"/>
    </row>
    <row r="91" spans="5:23" x14ac:dyDescent="0.3">
      <c r="E91"/>
      <c r="F91"/>
      <c r="G91"/>
      <c r="M91"/>
      <c r="N91"/>
      <c r="O91"/>
      <c r="Q91"/>
      <c r="R91"/>
      <c r="S91"/>
      <c r="U91"/>
      <c r="V91"/>
      <c r="W91"/>
    </row>
    <row r="92" spans="5:23" x14ac:dyDescent="0.3">
      <c r="E92"/>
      <c r="F92"/>
      <c r="G92"/>
      <c r="M92"/>
      <c r="N92"/>
      <c r="O92"/>
      <c r="Q92"/>
      <c r="R92"/>
      <c r="S92"/>
      <c r="U92"/>
      <c r="V92"/>
      <c r="W92"/>
    </row>
    <row r="93" spans="5:23" x14ac:dyDescent="0.3">
      <c r="E93"/>
      <c r="F93"/>
      <c r="G93"/>
      <c r="M93"/>
      <c r="N93"/>
      <c r="O93"/>
      <c r="Q93"/>
      <c r="R93"/>
      <c r="S93"/>
    </row>
    <row r="94" spans="5:23" x14ac:dyDescent="0.3">
      <c r="E94"/>
      <c r="F94"/>
      <c r="G94"/>
      <c r="M94"/>
      <c r="N94"/>
      <c r="O94"/>
      <c r="Q94"/>
      <c r="R94"/>
      <c r="S94"/>
    </row>
    <row r="95" spans="5:23" x14ac:dyDescent="0.3">
      <c r="E95"/>
      <c r="F95"/>
      <c r="G95"/>
      <c r="M95"/>
      <c r="N95"/>
      <c r="O95"/>
      <c r="Q95"/>
      <c r="R95"/>
      <c r="S95"/>
    </row>
    <row r="96" spans="5:23" x14ac:dyDescent="0.3">
      <c r="E96"/>
      <c r="F96"/>
      <c r="G96"/>
      <c r="M96"/>
      <c r="N96"/>
      <c r="O96"/>
      <c r="Q96"/>
      <c r="R96"/>
      <c r="S96"/>
    </row>
    <row r="97" spans="5:19" x14ac:dyDescent="0.3">
      <c r="E97"/>
      <c r="F97"/>
      <c r="G97"/>
      <c r="M97"/>
      <c r="N97"/>
      <c r="O97"/>
      <c r="Q97"/>
      <c r="R97"/>
      <c r="S97"/>
    </row>
    <row r="98" spans="5:19" x14ac:dyDescent="0.3">
      <c r="E98"/>
      <c r="F98"/>
      <c r="G98"/>
      <c r="M98"/>
      <c r="N98"/>
      <c r="O98"/>
      <c r="Q98"/>
      <c r="R98"/>
      <c r="S98"/>
    </row>
    <row r="99" spans="5:19" x14ac:dyDescent="0.3">
      <c r="E99"/>
      <c r="F99"/>
      <c r="G99"/>
      <c r="M99"/>
      <c r="N99"/>
      <c r="O99"/>
      <c r="Q99"/>
      <c r="R99"/>
      <c r="S99"/>
    </row>
    <row r="100" spans="5:19" x14ac:dyDescent="0.3">
      <c r="E100"/>
      <c r="F100"/>
      <c r="G100"/>
      <c r="M100"/>
      <c r="N100"/>
      <c r="O100"/>
      <c r="Q100"/>
      <c r="R100"/>
      <c r="S100"/>
    </row>
    <row r="101" spans="5:19" x14ac:dyDescent="0.3">
      <c r="E101"/>
      <c r="F101"/>
      <c r="G101"/>
      <c r="M101"/>
      <c r="N101"/>
      <c r="O101"/>
      <c r="Q101"/>
      <c r="R101"/>
      <c r="S101"/>
    </row>
    <row r="102" spans="5:19" x14ac:dyDescent="0.3">
      <c r="E102"/>
      <c r="F102"/>
      <c r="G102"/>
      <c r="M102"/>
      <c r="N102"/>
      <c r="O102"/>
      <c r="Q102"/>
      <c r="R102"/>
      <c r="S102"/>
    </row>
    <row r="103" spans="5:19" x14ac:dyDescent="0.3">
      <c r="E103"/>
      <c r="F103"/>
      <c r="G103"/>
      <c r="M103"/>
      <c r="N103"/>
      <c r="O103"/>
      <c r="Q103"/>
      <c r="R103"/>
      <c r="S103"/>
    </row>
    <row r="104" spans="5:19" x14ac:dyDescent="0.3">
      <c r="E104"/>
      <c r="F104"/>
      <c r="G104"/>
      <c r="M104"/>
      <c r="N104"/>
      <c r="O104"/>
      <c r="Q104"/>
      <c r="R104"/>
      <c r="S104"/>
    </row>
    <row r="105" spans="5:19" x14ac:dyDescent="0.3">
      <c r="E105"/>
      <c r="F105"/>
      <c r="G105"/>
      <c r="M105"/>
      <c r="N105"/>
      <c r="O105"/>
      <c r="Q105"/>
      <c r="R105"/>
      <c r="S105"/>
    </row>
    <row r="106" spans="5:19" x14ac:dyDescent="0.3">
      <c r="E106"/>
      <c r="F106"/>
      <c r="G106"/>
      <c r="M106"/>
      <c r="N106"/>
      <c r="O106"/>
      <c r="Q106"/>
      <c r="R106"/>
      <c r="S106"/>
    </row>
    <row r="107" spans="5:19" x14ac:dyDescent="0.3">
      <c r="E107"/>
      <c r="F107"/>
      <c r="G107"/>
      <c r="M107"/>
      <c r="N107"/>
      <c r="O107"/>
      <c r="Q107"/>
      <c r="R107"/>
      <c r="S107"/>
    </row>
    <row r="108" spans="5:19" x14ac:dyDescent="0.3">
      <c r="E108"/>
      <c r="F108"/>
      <c r="G108"/>
      <c r="M108"/>
      <c r="N108"/>
      <c r="O108"/>
      <c r="Q108"/>
      <c r="R108"/>
      <c r="S108"/>
    </row>
    <row r="109" spans="5:19" x14ac:dyDescent="0.3">
      <c r="E109"/>
      <c r="F109"/>
      <c r="G109"/>
      <c r="M109"/>
      <c r="N109"/>
      <c r="O109"/>
      <c r="Q109"/>
      <c r="R109"/>
      <c r="S109"/>
    </row>
    <row r="110" spans="5:19" x14ac:dyDescent="0.3">
      <c r="E110"/>
      <c r="F110"/>
      <c r="G110"/>
      <c r="M110"/>
      <c r="N110"/>
      <c r="O110"/>
      <c r="Q110"/>
      <c r="R110"/>
      <c r="S110"/>
    </row>
    <row r="111" spans="5:19" x14ac:dyDescent="0.3">
      <c r="E111"/>
      <c r="F111"/>
      <c r="G111"/>
      <c r="M111"/>
      <c r="N111"/>
      <c r="O111"/>
      <c r="Q111"/>
      <c r="R111"/>
      <c r="S111"/>
    </row>
    <row r="112" spans="5:19" x14ac:dyDescent="0.3">
      <c r="E112"/>
      <c r="F112"/>
      <c r="G112"/>
      <c r="M112"/>
      <c r="N112"/>
      <c r="O112"/>
      <c r="Q112"/>
      <c r="R112"/>
      <c r="S112"/>
    </row>
    <row r="113" spans="5:19" x14ac:dyDescent="0.3">
      <c r="E113"/>
      <c r="F113"/>
      <c r="G113"/>
      <c r="M113"/>
      <c r="N113"/>
      <c r="O113"/>
      <c r="Q113"/>
      <c r="R113"/>
      <c r="S113"/>
    </row>
    <row r="114" spans="5:19" x14ac:dyDescent="0.3">
      <c r="E114"/>
      <c r="F114"/>
      <c r="G114"/>
      <c r="M114"/>
      <c r="N114"/>
      <c r="O114"/>
      <c r="Q114"/>
      <c r="R114"/>
      <c r="S114"/>
    </row>
    <row r="115" spans="5:19" x14ac:dyDescent="0.3">
      <c r="E115"/>
      <c r="F115"/>
      <c r="G115"/>
      <c r="M115"/>
      <c r="N115"/>
      <c r="O115"/>
      <c r="Q115"/>
      <c r="R115"/>
      <c r="S115"/>
    </row>
    <row r="116" spans="5:19" x14ac:dyDescent="0.3">
      <c r="E116"/>
      <c r="F116"/>
      <c r="G116"/>
      <c r="M116"/>
      <c r="N116"/>
      <c r="O116"/>
      <c r="Q116"/>
      <c r="R116"/>
      <c r="S116"/>
    </row>
    <row r="117" spans="5:19" x14ac:dyDescent="0.3">
      <c r="E117"/>
      <c r="F117"/>
      <c r="G117"/>
      <c r="M117"/>
      <c r="N117"/>
      <c r="O117"/>
      <c r="Q117"/>
      <c r="R117"/>
      <c r="S117"/>
    </row>
    <row r="118" spans="5:19" x14ac:dyDescent="0.3">
      <c r="E118"/>
      <c r="F118"/>
      <c r="G118"/>
      <c r="M118"/>
      <c r="N118"/>
      <c r="O118"/>
      <c r="Q118"/>
      <c r="R118"/>
      <c r="S118"/>
    </row>
    <row r="119" spans="5:19" x14ac:dyDescent="0.3">
      <c r="E119"/>
      <c r="F119"/>
      <c r="G119"/>
      <c r="M119"/>
      <c r="N119"/>
      <c r="O119"/>
      <c r="Q119"/>
      <c r="R119"/>
      <c r="S119"/>
    </row>
    <row r="120" spans="5:19" x14ac:dyDescent="0.3">
      <c r="E120"/>
      <c r="F120"/>
      <c r="G120"/>
      <c r="M120"/>
      <c r="N120"/>
      <c r="O120"/>
      <c r="Q120"/>
      <c r="R120"/>
      <c r="S120"/>
    </row>
    <row r="121" spans="5:19" x14ac:dyDescent="0.3">
      <c r="E121"/>
      <c r="F121"/>
      <c r="G121"/>
      <c r="M121"/>
      <c r="N121"/>
      <c r="O121"/>
      <c r="Q121"/>
      <c r="R121"/>
      <c r="S121"/>
    </row>
    <row r="122" spans="5:19" x14ac:dyDescent="0.3">
      <c r="E122"/>
      <c r="F122"/>
      <c r="G122"/>
      <c r="M122"/>
      <c r="N122"/>
      <c r="O122"/>
      <c r="Q122"/>
      <c r="R122"/>
      <c r="S122"/>
    </row>
    <row r="123" spans="5:19" x14ac:dyDescent="0.3">
      <c r="E123"/>
      <c r="F123"/>
      <c r="G123"/>
      <c r="M123"/>
      <c r="N123"/>
      <c r="O123"/>
      <c r="Q123"/>
      <c r="R123"/>
      <c r="S123"/>
    </row>
    <row r="124" spans="5:19" x14ac:dyDescent="0.3">
      <c r="E124"/>
      <c r="F124"/>
      <c r="G124"/>
      <c r="M124"/>
      <c r="N124"/>
      <c r="O124"/>
      <c r="Q124"/>
      <c r="R124"/>
      <c r="S124"/>
    </row>
    <row r="125" spans="5:19" x14ac:dyDescent="0.3">
      <c r="E125"/>
      <c r="F125"/>
      <c r="G125"/>
      <c r="M125"/>
      <c r="N125"/>
      <c r="O125"/>
      <c r="Q125"/>
      <c r="R125"/>
      <c r="S125"/>
    </row>
    <row r="126" spans="5:19" x14ac:dyDescent="0.3">
      <c r="E126"/>
      <c r="F126"/>
      <c r="G126"/>
      <c r="M126"/>
      <c r="N126"/>
      <c r="O126"/>
      <c r="Q126"/>
      <c r="R126"/>
      <c r="S126"/>
    </row>
    <row r="127" spans="5:19" x14ac:dyDescent="0.3">
      <c r="E127"/>
      <c r="F127"/>
      <c r="G127"/>
      <c r="M127"/>
      <c r="N127"/>
      <c r="O127"/>
      <c r="Q127"/>
      <c r="R127"/>
      <c r="S127"/>
    </row>
    <row r="128" spans="5:19" x14ac:dyDescent="0.3">
      <c r="E128"/>
      <c r="F128"/>
      <c r="G128"/>
      <c r="M128"/>
      <c r="N128"/>
      <c r="O128"/>
      <c r="Q128"/>
      <c r="R128"/>
      <c r="S128"/>
    </row>
    <row r="129" spans="5:19" x14ac:dyDescent="0.3">
      <c r="E129"/>
      <c r="F129"/>
      <c r="G129"/>
      <c r="M129"/>
      <c r="N129"/>
      <c r="O129"/>
      <c r="Q129"/>
      <c r="R129"/>
      <c r="S129"/>
    </row>
    <row r="130" spans="5:19" x14ac:dyDescent="0.3">
      <c r="E130"/>
      <c r="F130"/>
      <c r="G130"/>
      <c r="M130"/>
      <c r="N130"/>
      <c r="O130"/>
      <c r="Q130"/>
      <c r="R130"/>
      <c r="S130"/>
    </row>
    <row r="131" spans="5:19" x14ac:dyDescent="0.3">
      <c r="E131"/>
      <c r="F131"/>
      <c r="G131"/>
      <c r="M131"/>
      <c r="N131"/>
      <c r="O131"/>
      <c r="Q131"/>
      <c r="R131"/>
      <c r="S131"/>
    </row>
    <row r="132" spans="5:19" x14ac:dyDescent="0.3">
      <c r="E132"/>
      <c r="F132"/>
      <c r="G132"/>
      <c r="M132"/>
      <c r="N132"/>
      <c r="O132"/>
      <c r="Q132"/>
      <c r="R132"/>
      <c r="S132"/>
    </row>
    <row r="133" spans="5:19" x14ac:dyDescent="0.3">
      <c r="E133"/>
      <c r="F133"/>
      <c r="G133"/>
      <c r="M133"/>
      <c r="N133"/>
      <c r="O133"/>
      <c r="Q133"/>
      <c r="R133"/>
      <c r="S133"/>
    </row>
    <row r="134" spans="5:19" x14ac:dyDescent="0.3">
      <c r="E134"/>
      <c r="F134"/>
      <c r="G134"/>
      <c r="M134"/>
      <c r="N134"/>
      <c r="O134"/>
      <c r="Q134"/>
      <c r="R134"/>
      <c r="S134"/>
    </row>
    <row r="135" spans="5:19" x14ac:dyDescent="0.3">
      <c r="E135"/>
      <c r="F135"/>
      <c r="G135"/>
      <c r="M135"/>
      <c r="N135"/>
      <c r="O135"/>
      <c r="Q135"/>
      <c r="R135"/>
      <c r="S135"/>
    </row>
    <row r="136" spans="5:19" x14ac:dyDescent="0.3">
      <c r="E136"/>
      <c r="F136"/>
      <c r="G136"/>
      <c r="M136"/>
      <c r="N136"/>
      <c r="O136"/>
      <c r="Q136"/>
      <c r="R136"/>
      <c r="S136"/>
    </row>
    <row r="137" spans="5:19" x14ac:dyDescent="0.3">
      <c r="E137"/>
      <c r="F137"/>
      <c r="G137"/>
      <c r="M137"/>
      <c r="N137"/>
      <c r="O137"/>
      <c r="Q137"/>
      <c r="R137"/>
      <c r="S137"/>
    </row>
    <row r="138" spans="5:19" x14ac:dyDescent="0.3">
      <c r="E138"/>
      <c r="F138"/>
      <c r="G138"/>
      <c r="M138"/>
      <c r="N138"/>
      <c r="O138"/>
      <c r="Q138"/>
      <c r="R138"/>
      <c r="S138"/>
    </row>
    <row r="139" spans="5:19" x14ac:dyDescent="0.3">
      <c r="E139"/>
      <c r="F139"/>
      <c r="G139"/>
      <c r="M139"/>
      <c r="N139"/>
      <c r="O139"/>
      <c r="Q139"/>
      <c r="R139"/>
      <c r="S139"/>
    </row>
    <row r="140" spans="5:19" x14ac:dyDescent="0.3">
      <c r="E140"/>
      <c r="F140"/>
      <c r="G140"/>
      <c r="M140"/>
      <c r="N140"/>
      <c r="O140"/>
      <c r="Q140"/>
      <c r="R140"/>
      <c r="S140"/>
    </row>
    <row r="141" spans="5:19" x14ac:dyDescent="0.3">
      <c r="E141"/>
      <c r="F141"/>
      <c r="G141"/>
      <c r="M141"/>
      <c r="N141"/>
      <c r="O141"/>
      <c r="Q141"/>
      <c r="R141"/>
      <c r="S141"/>
    </row>
    <row r="142" spans="5:19" x14ac:dyDescent="0.3">
      <c r="E142"/>
      <c r="F142"/>
      <c r="G142"/>
      <c r="M142"/>
      <c r="N142"/>
      <c r="O142"/>
      <c r="Q142"/>
      <c r="R142"/>
      <c r="S142"/>
    </row>
    <row r="143" spans="5:19" x14ac:dyDescent="0.3">
      <c r="E143"/>
      <c r="F143"/>
      <c r="G143"/>
      <c r="M143"/>
      <c r="N143"/>
      <c r="O143"/>
      <c r="Q143"/>
      <c r="R143"/>
      <c r="S143"/>
    </row>
    <row r="144" spans="5:19" x14ac:dyDescent="0.3">
      <c r="E144"/>
      <c r="F144"/>
      <c r="G144"/>
      <c r="M144"/>
      <c r="N144"/>
      <c r="O144"/>
      <c r="Q144"/>
      <c r="R144"/>
      <c r="S144"/>
    </row>
    <row r="145" spans="5:19" x14ac:dyDescent="0.3">
      <c r="E145"/>
      <c r="F145"/>
      <c r="G145"/>
      <c r="M145"/>
      <c r="N145"/>
      <c r="O145"/>
      <c r="Q145"/>
      <c r="R145"/>
      <c r="S145"/>
    </row>
    <row r="146" spans="5:19" x14ac:dyDescent="0.3">
      <c r="E146"/>
      <c r="F146"/>
      <c r="G146"/>
      <c r="M146"/>
      <c r="N146"/>
      <c r="O146"/>
      <c r="Q146"/>
      <c r="R146"/>
      <c r="S146"/>
    </row>
    <row r="147" spans="5:19" x14ac:dyDescent="0.3">
      <c r="E147"/>
      <c r="F147"/>
      <c r="G147"/>
      <c r="M147"/>
      <c r="N147"/>
      <c r="O147"/>
      <c r="Q147"/>
      <c r="R147"/>
      <c r="S147"/>
    </row>
    <row r="148" spans="5:19" x14ac:dyDescent="0.3">
      <c r="E148"/>
      <c r="F148"/>
      <c r="G148"/>
      <c r="M148"/>
      <c r="N148"/>
      <c r="O148"/>
      <c r="Q148"/>
      <c r="R148"/>
      <c r="S148"/>
    </row>
    <row r="149" spans="5:19" x14ac:dyDescent="0.3">
      <c r="E149"/>
      <c r="F149"/>
      <c r="G149"/>
      <c r="M149"/>
      <c r="N149"/>
      <c r="O149"/>
      <c r="Q149"/>
      <c r="R149"/>
      <c r="S149"/>
    </row>
    <row r="150" spans="5:19" x14ac:dyDescent="0.3">
      <c r="E150"/>
      <c r="F150"/>
      <c r="G150"/>
      <c r="M150"/>
      <c r="N150"/>
      <c r="O150"/>
      <c r="Q150"/>
      <c r="R150"/>
      <c r="S150"/>
    </row>
    <row r="151" spans="5:19" x14ac:dyDescent="0.3">
      <c r="E151"/>
      <c r="F151"/>
      <c r="G151"/>
      <c r="M151"/>
      <c r="N151"/>
      <c r="O151"/>
      <c r="Q151"/>
      <c r="R151"/>
      <c r="S151"/>
    </row>
    <row r="152" spans="5:19" x14ac:dyDescent="0.3">
      <c r="E152"/>
      <c r="F152"/>
      <c r="G152"/>
      <c r="M152"/>
      <c r="N152"/>
      <c r="O152"/>
      <c r="Q152"/>
      <c r="R152"/>
      <c r="S152"/>
    </row>
    <row r="153" spans="5:19" x14ac:dyDescent="0.3">
      <c r="E153"/>
      <c r="F153"/>
      <c r="G153"/>
      <c r="M153"/>
      <c r="N153"/>
      <c r="O153"/>
      <c r="Q153"/>
      <c r="R153"/>
      <c r="S153"/>
    </row>
    <row r="154" spans="5:19" x14ac:dyDescent="0.3">
      <c r="E154"/>
      <c r="F154"/>
      <c r="G154"/>
      <c r="M154"/>
      <c r="N154"/>
      <c r="O154"/>
      <c r="Q154"/>
      <c r="R154"/>
      <c r="S154"/>
    </row>
    <row r="155" spans="5:19" x14ac:dyDescent="0.3">
      <c r="E155"/>
      <c r="F155"/>
      <c r="G155"/>
      <c r="M155"/>
      <c r="N155"/>
      <c r="O155"/>
      <c r="Q155"/>
      <c r="R155"/>
      <c r="S155"/>
    </row>
    <row r="156" spans="5:19" x14ac:dyDescent="0.3">
      <c r="E156"/>
      <c r="F156"/>
      <c r="G156"/>
      <c r="M156"/>
      <c r="N156"/>
      <c r="O156"/>
      <c r="Q156"/>
      <c r="R156"/>
      <c r="S156"/>
    </row>
    <row r="157" spans="5:19" x14ac:dyDescent="0.3">
      <c r="E157"/>
      <c r="F157"/>
      <c r="G157"/>
      <c r="M157"/>
      <c r="N157"/>
      <c r="O157"/>
      <c r="Q157"/>
      <c r="R157"/>
      <c r="S157"/>
    </row>
    <row r="158" spans="5:19" x14ac:dyDescent="0.3">
      <c r="E158"/>
      <c r="F158"/>
      <c r="G158"/>
      <c r="M158"/>
      <c r="N158"/>
      <c r="O158"/>
      <c r="Q158"/>
      <c r="R158"/>
      <c r="S158"/>
    </row>
    <row r="159" spans="5:19" x14ac:dyDescent="0.3">
      <c r="E159"/>
      <c r="F159"/>
      <c r="G159"/>
      <c r="M159"/>
      <c r="N159"/>
      <c r="O159"/>
      <c r="Q159"/>
      <c r="R159"/>
      <c r="S159"/>
    </row>
    <row r="160" spans="5:19" x14ac:dyDescent="0.3">
      <c r="E160"/>
      <c r="F160"/>
      <c r="G160"/>
      <c r="M160"/>
      <c r="N160"/>
      <c r="O160"/>
      <c r="Q160"/>
      <c r="R160"/>
      <c r="S160"/>
    </row>
    <row r="161" spans="5:19" x14ac:dyDescent="0.3">
      <c r="E161"/>
      <c r="F161"/>
      <c r="G161"/>
      <c r="M161"/>
      <c r="N161"/>
      <c r="O161"/>
      <c r="Q161"/>
      <c r="R161"/>
      <c r="S161"/>
    </row>
    <row r="162" spans="5:19" x14ac:dyDescent="0.3">
      <c r="E162"/>
      <c r="F162"/>
      <c r="G162"/>
      <c r="M162"/>
      <c r="N162"/>
      <c r="O162"/>
      <c r="Q162"/>
      <c r="R162"/>
      <c r="S162"/>
    </row>
    <row r="163" spans="5:19" x14ac:dyDescent="0.3">
      <c r="E163"/>
      <c r="F163"/>
      <c r="G163"/>
      <c r="M163"/>
      <c r="N163"/>
      <c r="O163"/>
      <c r="Q163"/>
      <c r="R163"/>
      <c r="S163"/>
    </row>
    <row r="164" spans="5:19" x14ac:dyDescent="0.3">
      <c r="E164"/>
      <c r="F164"/>
      <c r="G164"/>
      <c r="M164"/>
      <c r="N164"/>
      <c r="O164"/>
      <c r="Q164"/>
      <c r="R164"/>
      <c r="S164"/>
    </row>
    <row r="165" spans="5:19" x14ac:dyDescent="0.3">
      <c r="E165"/>
      <c r="F165"/>
      <c r="G165"/>
      <c r="M165"/>
      <c r="N165"/>
      <c r="O165"/>
      <c r="Q165"/>
      <c r="R165"/>
      <c r="S165"/>
    </row>
    <row r="166" spans="5:19" x14ac:dyDescent="0.3">
      <c r="E166"/>
      <c r="F166"/>
      <c r="G166"/>
      <c r="M166"/>
      <c r="N166"/>
      <c r="O166"/>
      <c r="Q166"/>
      <c r="R166"/>
      <c r="S166"/>
    </row>
    <row r="167" spans="5:19" x14ac:dyDescent="0.3">
      <c r="E167"/>
      <c r="F167"/>
      <c r="G167"/>
      <c r="M167"/>
      <c r="N167"/>
      <c r="O167"/>
      <c r="Q167"/>
      <c r="R167"/>
      <c r="S167"/>
    </row>
    <row r="168" spans="5:19" x14ac:dyDescent="0.3">
      <c r="E168"/>
      <c r="F168"/>
      <c r="G168"/>
      <c r="M168"/>
      <c r="N168"/>
      <c r="O168"/>
      <c r="Q168"/>
      <c r="R168"/>
      <c r="S168"/>
    </row>
    <row r="169" spans="5:19" x14ac:dyDescent="0.3">
      <c r="E169"/>
      <c r="F169"/>
      <c r="G169"/>
      <c r="M169"/>
      <c r="N169"/>
      <c r="O169"/>
      <c r="Q169"/>
      <c r="R169"/>
      <c r="S169"/>
    </row>
    <row r="170" spans="5:19" x14ac:dyDescent="0.3">
      <c r="E170"/>
      <c r="F170"/>
      <c r="G170"/>
      <c r="M170"/>
      <c r="N170"/>
      <c r="O170"/>
      <c r="Q170"/>
      <c r="R170"/>
      <c r="S170"/>
    </row>
    <row r="171" spans="5:19" x14ac:dyDescent="0.3">
      <c r="E171"/>
      <c r="F171"/>
      <c r="G171"/>
      <c r="M171"/>
      <c r="N171"/>
      <c r="O171"/>
      <c r="Q171"/>
      <c r="R171"/>
      <c r="S171"/>
    </row>
    <row r="172" spans="5:19" x14ac:dyDescent="0.3">
      <c r="E172"/>
      <c r="F172"/>
      <c r="G172"/>
      <c r="M172"/>
      <c r="N172"/>
      <c r="O172"/>
      <c r="Q172"/>
      <c r="R172"/>
      <c r="S172"/>
    </row>
    <row r="173" spans="5:19" x14ac:dyDescent="0.3">
      <c r="E173"/>
      <c r="F173"/>
      <c r="G173"/>
      <c r="M173"/>
      <c r="N173"/>
      <c r="O173"/>
      <c r="Q173"/>
      <c r="R173"/>
      <c r="S173"/>
    </row>
    <row r="174" spans="5:19" x14ac:dyDescent="0.3">
      <c r="E174"/>
      <c r="F174"/>
      <c r="G174"/>
      <c r="M174"/>
      <c r="N174"/>
      <c r="O174"/>
      <c r="Q174"/>
      <c r="R174"/>
      <c r="S174"/>
    </row>
    <row r="175" spans="5:19" x14ac:dyDescent="0.3">
      <c r="E175"/>
      <c r="F175"/>
      <c r="G175"/>
      <c r="M175"/>
      <c r="N175"/>
      <c r="O175"/>
      <c r="Q175"/>
      <c r="R175"/>
      <c r="S175"/>
    </row>
    <row r="176" spans="5:19" x14ac:dyDescent="0.3">
      <c r="E176"/>
      <c r="F176"/>
      <c r="G176"/>
      <c r="M176"/>
      <c r="N176"/>
      <c r="O176"/>
      <c r="Q176"/>
      <c r="R176"/>
      <c r="S176"/>
    </row>
    <row r="177" spans="5:19" x14ac:dyDescent="0.3">
      <c r="E177"/>
      <c r="F177"/>
      <c r="G177"/>
      <c r="M177"/>
      <c r="N177"/>
      <c r="O177"/>
      <c r="Q177"/>
      <c r="R177"/>
      <c r="S177"/>
    </row>
    <row r="178" spans="5:19" x14ac:dyDescent="0.3">
      <c r="E178"/>
      <c r="F178"/>
      <c r="G178"/>
      <c r="M178"/>
      <c r="N178"/>
      <c r="O178"/>
      <c r="Q178"/>
      <c r="R178"/>
      <c r="S178"/>
    </row>
    <row r="179" spans="5:19" x14ac:dyDescent="0.3">
      <c r="E179"/>
      <c r="F179"/>
      <c r="G179"/>
      <c r="M179"/>
      <c r="N179"/>
      <c r="O179"/>
      <c r="Q179"/>
      <c r="R179"/>
      <c r="S179"/>
    </row>
    <row r="180" spans="5:19" x14ac:dyDescent="0.3">
      <c r="E180"/>
      <c r="F180"/>
      <c r="G180"/>
      <c r="M180"/>
      <c r="N180"/>
      <c r="O180"/>
      <c r="Q180"/>
      <c r="R180"/>
      <c r="S180"/>
    </row>
    <row r="181" spans="5:19" x14ac:dyDescent="0.3">
      <c r="E181"/>
      <c r="F181"/>
      <c r="G181"/>
      <c r="M181"/>
      <c r="N181"/>
      <c r="O181"/>
      <c r="Q181"/>
      <c r="R181"/>
      <c r="S181"/>
    </row>
    <row r="182" spans="5:19" x14ac:dyDescent="0.3">
      <c r="E182"/>
      <c r="F182"/>
      <c r="G182"/>
      <c r="M182"/>
      <c r="N182"/>
      <c r="O182"/>
      <c r="Q182"/>
      <c r="R182"/>
      <c r="S182"/>
    </row>
    <row r="183" spans="5:19" x14ac:dyDescent="0.3">
      <c r="E183"/>
      <c r="F183"/>
      <c r="G183"/>
      <c r="M183"/>
      <c r="N183"/>
      <c r="O183"/>
      <c r="Q183"/>
      <c r="R183"/>
      <c r="S183"/>
    </row>
    <row r="184" spans="5:19" x14ac:dyDescent="0.3">
      <c r="E184"/>
      <c r="F184"/>
      <c r="G184"/>
      <c r="M184"/>
      <c r="N184"/>
      <c r="O184"/>
      <c r="Q184"/>
      <c r="R184"/>
      <c r="S184"/>
    </row>
    <row r="185" spans="5:19" x14ac:dyDescent="0.3">
      <c r="E185"/>
      <c r="F185"/>
      <c r="G185"/>
      <c r="M185"/>
      <c r="N185"/>
      <c r="O185"/>
      <c r="Q185"/>
      <c r="R185"/>
      <c r="S185"/>
    </row>
    <row r="186" spans="5:19" x14ac:dyDescent="0.3">
      <c r="E186"/>
      <c r="F186"/>
      <c r="G186"/>
      <c r="M186"/>
      <c r="N186"/>
      <c r="O186"/>
      <c r="Q186"/>
      <c r="R186"/>
      <c r="S186"/>
    </row>
    <row r="187" spans="5:19" x14ac:dyDescent="0.3">
      <c r="E187"/>
      <c r="F187"/>
      <c r="G187"/>
      <c r="M187"/>
      <c r="N187"/>
      <c r="O187"/>
      <c r="Q187"/>
      <c r="R187"/>
      <c r="S187"/>
    </row>
    <row r="188" spans="5:19" x14ac:dyDescent="0.3">
      <c r="E188"/>
      <c r="F188"/>
      <c r="G188"/>
      <c r="M188"/>
      <c r="N188"/>
      <c r="O188"/>
      <c r="Q188"/>
      <c r="R188"/>
      <c r="S188"/>
    </row>
    <row r="189" spans="5:19" x14ac:dyDescent="0.3">
      <c r="E189"/>
      <c r="F189"/>
      <c r="G189"/>
      <c r="M189"/>
      <c r="N189"/>
      <c r="O189"/>
      <c r="Q189"/>
      <c r="R189"/>
      <c r="S189"/>
    </row>
    <row r="190" spans="5:19" x14ac:dyDescent="0.3">
      <c r="E190"/>
      <c r="F190"/>
      <c r="G190"/>
      <c r="M190"/>
      <c r="N190"/>
      <c r="O190"/>
      <c r="Q190"/>
      <c r="R190"/>
      <c r="S190"/>
    </row>
    <row r="191" spans="5:19" x14ac:dyDescent="0.3">
      <c r="E191"/>
      <c r="F191"/>
      <c r="G191"/>
      <c r="M191"/>
      <c r="N191"/>
      <c r="O191"/>
      <c r="Q191"/>
      <c r="R191"/>
      <c r="S191"/>
    </row>
    <row r="192" spans="5:19" x14ac:dyDescent="0.3">
      <c r="E192"/>
      <c r="F192"/>
      <c r="G192"/>
      <c r="M192"/>
      <c r="N192"/>
      <c r="O192"/>
      <c r="Q192"/>
      <c r="R192"/>
      <c r="S192"/>
    </row>
    <row r="193" spans="5:19" x14ac:dyDescent="0.3">
      <c r="E193"/>
      <c r="F193"/>
      <c r="G193"/>
      <c r="M193"/>
      <c r="N193"/>
      <c r="O193"/>
      <c r="Q193"/>
      <c r="R193"/>
      <c r="S193"/>
    </row>
    <row r="194" spans="5:19" x14ac:dyDescent="0.3">
      <c r="M194"/>
      <c r="N194"/>
      <c r="O194"/>
      <c r="Q194"/>
      <c r="R194"/>
      <c r="S194"/>
    </row>
    <row r="195" spans="5:19" x14ac:dyDescent="0.3">
      <c r="M195"/>
      <c r="N195"/>
      <c r="O195"/>
      <c r="Q195"/>
      <c r="R195"/>
      <c r="S195"/>
    </row>
    <row r="196" spans="5:19" x14ac:dyDescent="0.3">
      <c r="M196"/>
      <c r="N196"/>
      <c r="O196"/>
      <c r="Q196"/>
      <c r="R196"/>
      <c r="S196"/>
    </row>
    <row r="197" spans="5:19" x14ac:dyDescent="0.3">
      <c r="M197"/>
      <c r="N197"/>
      <c r="O197"/>
      <c r="Q197"/>
      <c r="R197"/>
      <c r="S197"/>
    </row>
    <row r="198" spans="5:19" x14ac:dyDescent="0.3">
      <c r="M198"/>
      <c r="N198"/>
      <c r="O198"/>
      <c r="Q198"/>
      <c r="R198"/>
      <c r="S198"/>
    </row>
    <row r="199" spans="5:19" x14ac:dyDescent="0.3">
      <c r="M199"/>
      <c r="N199"/>
      <c r="O199"/>
      <c r="Q199"/>
      <c r="R199"/>
      <c r="S199"/>
    </row>
    <row r="200" spans="5:19" x14ac:dyDescent="0.3">
      <c r="M200"/>
      <c r="N200"/>
      <c r="O200"/>
      <c r="Q200"/>
      <c r="R200"/>
      <c r="S200"/>
    </row>
    <row r="201" spans="5:19" x14ac:dyDescent="0.3">
      <c r="M201"/>
      <c r="N201"/>
      <c r="O201"/>
      <c r="Q201"/>
      <c r="R201"/>
      <c r="S201"/>
    </row>
    <row r="202" spans="5:19" x14ac:dyDescent="0.3">
      <c r="M202"/>
      <c r="N202"/>
      <c r="O202"/>
      <c r="Q202"/>
      <c r="R202"/>
      <c r="S202"/>
    </row>
    <row r="203" spans="5:19" x14ac:dyDescent="0.3">
      <c r="M203"/>
      <c r="N203"/>
      <c r="O203"/>
      <c r="Q203"/>
      <c r="R203"/>
      <c r="S203"/>
    </row>
    <row r="204" spans="5:19" x14ac:dyDescent="0.3">
      <c r="M204"/>
      <c r="N204"/>
      <c r="O204"/>
      <c r="Q204"/>
      <c r="R204"/>
      <c r="S204"/>
    </row>
    <row r="205" spans="5:19" x14ac:dyDescent="0.3">
      <c r="M205"/>
      <c r="N205"/>
      <c r="O205"/>
      <c r="Q205"/>
      <c r="R205"/>
      <c r="S205"/>
    </row>
    <row r="206" spans="5:19" x14ac:dyDescent="0.3">
      <c r="M206"/>
      <c r="N206"/>
      <c r="O206"/>
      <c r="Q206"/>
      <c r="R206"/>
      <c r="S206"/>
    </row>
    <row r="207" spans="5:19" x14ac:dyDescent="0.3">
      <c r="M207"/>
      <c r="N207"/>
      <c r="O207"/>
      <c r="Q207"/>
      <c r="R207"/>
      <c r="S207"/>
    </row>
    <row r="208" spans="5:19" x14ac:dyDescent="0.3">
      <c r="M208"/>
      <c r="N208"/>
      <c r="O208"/>
      <c r="Q208"/>
      <c r="R208"/>
      <c r="S208"/>
    </row>
    <row r="209" spans="13:19" x14ac:dyDescent="0.3">
      <c r="M209"/>
      <c r="N209"/>
      <c r="O209"/>
      <c r="Q209"/>
      <c r="R209"/>
      <c r="S209"/>
    </row>
    <row r="210" spans="13:19" x14ac:dyDescent="0.3">
      <c r="M210"/>
      <c r="N210"/>
      <c r="O210"/>
      <c r="Q210"/>
      <c r="R210"/>
      <c r="S210"/>
    </row>
    <row r="211" spans="13:19" x14ac:dyDescent="0.3">
      <c r="M211"/>
      <c r="N211"/>
      <c r="O211"/>
      <c r="Q211"/>
      <c r="R211"/>
      <c r="S211"/>
    </row>
    <row r="212" spans="13:19" x14ac:dyDescent="0.3">
      <c r="M212"/>
      <c r="N212"/>
      <c r="O212"/>
      <c r="Q212"/>
      <c r="R212"/>
      <c r="S212"/>
    </row>
    <row r="213" spans="13:19" x14ac:dyDescent="0.3">
      <c r="M213"/>
      <c r="N213"/>
      <c r="O213"/>
      <c r="Q213"/>
      <c r="R213"/>
      <c r="S213"/>
    </row>
    <row r="214" spans="13:19" x14ac:dyDescent="0.3">
      <c r="M214"/>
      <c r="N214"/>
      <c r="O214"/>
      <c r="Q214"/>
      <c r="R214"/>
      <c r="S214"/>
    </row>
    <row r="215" spans="13:19" x14ac:dyDescent="0.3">
      <c r="M215"/>
      <c r="N215"/>
      <c r="O215"/>
      <c r="Q215"/>
      <c r="R215"/>
      <c r="S215"/>
    </row>
    <row r="216" spans="13:19" x14ac:dyDescent="0.3">
      <c r="M216"/>
      <c r="N216"/>
      <c r="O216"/>
      <c r="Q216"/>
      <c r="R216"/>
      <c r="S216"/>
    </row>
    <row r="217" spans="13:19" x14ac:dyDescent="0.3">
      <c r="M217"/>
      <c r="N217"/>
      <c r="O217"/>
      <c r="Q217"/>
      <c r="R217"/>
      <c r="S217"/>
    </row>
    <row r="218" spans="13:19" x14ac:dyDescent="0.3">
      <c r="M218"/>
      <c r="N218"/>
      <c r="O218"/>
      <c r="Q218"/>
      <c r="R218"/>
      <c r="S218"/>
    </row>
    <row r="219" spans="13:19" x14ac:dyDescent="0.3">
      <c r="M219"/>
      <c r="N219"/>
      <c r="O219"/>
      <c r="Q219"/>
      <c r="R219"/>
      <c r="S219"/>
    </row>
    <row r="220" spans="13:19" x14ac:dyDescent="0.3">
      <c r="M220"/>
      <c r="N220"/>
      <c r="O220"/>
      <c r="Q220"/>
      <c r="R220"/>
      <c r="S220"/>
    </row>
    <row r="221" spans="13:19" x14ac:dyDescent="0.3">
      <c r="M221"/>
      <c r="N221"/>
      <c r="O221"/>
      <c r="Q221"/>
      <c r="R221"/>
      <c r="S221"/>
    </row>
    <row r="222" spans="13:19" x14ac:dyDescent="0.3">
      <c r="M222"/>
      <c r="N222"/>
      <c r="O222"/>
      <c r="Q222"/>
      <c r="R222"/>
      <c r="S222"/>
    </row>
    <row r="223" spans="13:19" x14ac:dyDescent="0.3">
      <c r="M223"/>
      <c r="N223"/>
      <c r="O223"/>
      <c r="Q223"/>
      <c r="R223"/>
      <c r="S223"/>
    </row>
    <row r="224" spans="13:19" x14ac:dyDescent="0.3">
      <c r="M224"/>
      <c r="N224"/>
      <c r="O224"/>
      <c r="Q224"/>
      <c r="R224"/>
      <c r="S224"/>
    </row>
    <row r="225" spans="13:19" x14ac:dyDescent="0.3">
      <c r="M225"/>
      <c r="N225"/>
      <c r="O225"/>
      <c r="Q225"/>
      <c r="R225"/>
      <c r="S225"/>
    </row>
    <row r="226" spans="13:19" x14ac:dyDescent="0.3">
      <c r="M226"/>
      <c r="N226"/>
      <c r="O226"/>
      <c r="Q226"/>
      <c r="R226"/>
      <c r="S226"/>
    </row>
    <row r="227" spans="13:19" x14ac:dyDescent="0.3">
      <c r="M227"/>
      <c r="N227"/>
      <c r="O227"/>
      <c r="Q227"/>
      <c r="R227"/>
      <c r="S227"/>
    </row>
    <row r="228" spans="13:19" x14ac:dyDescent="0.3">
      <c r="M228"/>
      <c r="N228"/>
      <c r="O228"/>
      <c r="Q228"/>
      <c r="R228"/>
      <c r="S228"/>
    </row>
    <row r="229" spans="13:19" x14ac:dyDescent="0.3">
      <c r="M229"/>
      <c r="N229"/>
      <c r="O229"/>
      <c r="Q229"/>
      <c r="R229"/>
      <c r="S229"/>
    </row>
    <row r="230" spans="13:19" x14ac:dyDescent="0.3">
      <c r="M230"/>
      <c r="N230"/>
      <c r="O230"/>
      <c r="Q230"/>
      <c r="R230"/>
      <c r="S230"/>
    </row>
    <row r="231" spans="13:19" x14ac:dyDescent="0.3">
      <c r="M231"/>
      <c r="N231"/>
      <c r="O231"/>
      <c r="Q231"/>
      <c r="R231"/>
      <c r="S231"/>
    </row>
    <row r="232" spans="13:19" x14ac:dyDescent="0.3">
      <c r="M232"/>
      <c r="N232"/>
      <c r="O232"/>
      <c r="Q232"/>
      <c r="R232"/>
      <c r="S232"/>
    </row>
    <row r="233" spans="13:19" x14ac:dyDescent="0.3">
      <c r="M233"/>
      <c r="N233"/>
      <c r="O233"/>
    </row>
    <row r="234" spans="13:19" x14ac:dyDescent="0.3">
      <c r="M234"/>
      <c r="N234"/>
      <c r="O234"/>
    </row>
    <row r="235" spans="13:19" x14ac:dyDescent="0.3">
      <c r="M235"/>
      <c r="N235"/>
      <c r="O235"/>
    </row>
    <row r="236" spans="13:19" x14ac:dyDescent="0.3">
      <c r="M236"/>
      <c r="N236"/>
      <c r="O236"/>
    </row>
    <row r="237" spans="13:19" x14ac:dyDescent="0.3">
      <c r="M237"/>
      <c r="N237"/>
      <c r="O237"/>
    </row>
    <row r="238" spans="13:19" x14ac:dyDescent="0.3">
      <c r="M238"/>
      <c r="N238"/>
      <c r="O238"/>
    </row>
    <row r="239" spans="13:19" x14ac:dyDescent="0.3">
      <c r="M239"/>
      <c r="N239"/>
      <c r="O239"/>
    </row>
    <row r="240" spans="13:19" x14ac:dyDescent="0.3">
      <c r="M240"/>
      <c r="N240"/>
      <c r="O240"/>
    </row>
    <row r="241" spans="13:15" x14ac:dyDescent="0.3">
      <c r="M241"/>
      <c r="N241"/>
      <c r="O241"/>
    </row>
    <row r="242" spans="13:15" x14ac:dyDescent="0.3">
      <c r="M242"/>
      <c r="N242"/>
      <c r="O242"/>
    </row>
    <row r="243" spans="13:15" x14ac:dyDescent="0.3">
      <c r="M243"/>
      <c r="N243"/>
      <c r="O243"/>
    </row>
    <row r="244" spans="13:15" x14ac:dyDescent="0.3">
      <c r="M244"/>
      <c r="N244"/>
      <c r="O244"/>
    </row>
    <row r="245" spans="13:15" x14ac:dyDescent="0.3">
      <c r="M245"/>
      <c r="N245"/>
      <c r="O245"/>
    </row>
    <row r="246" spans="13:15" x14ac:dyDescent="0.3">
      <c r="M246"/>
      <c r="N246"/>
      <c r="O246"/>
    </row>
    <row r="247" spans="13:15" x14ac:dyDescent="0.3">
      <c r="M247"/>
      <c r="N247"/>
      <c r="O247"/>
    </row>
    <row r="248" spans="13:15" x14ac:dyDescent="0.3">
      <c r="M248"/>
      <c r="N248"/>
      <c r="O248"/>
    </row>
    <row r="249" spans="13:15" x14ac:dyDescent="0.3">
      <c r="M249"/>
      <c r="N249"/>
      <c r="O249"/>
    </row>
    <row r="250" spans="13:15" x14ac:dyDescent="0.3">
      <c r="M250"/>
      <c r="N250"/>
      <c r="O250"/>
    </row>
    <row r="251" spans="13:15" x14ac:dyDescent="0.3">
      <c r="M251"/>
      <c r="N251"/>
      <c r="O251"/>
    </row>
    <row r="252" spans="13:15" x14ac:dyDescent="0.3">
      <c r="M252"/>
      <c r="N252"/>
      <c r="O252"/>
    </row>
    <row r="253" spans="13:15" x14ac:dyDescent="0.3">
      <c r="M253"/>
      <c r="N253"/>
      <c r="O253"/>
    </row>
    <row r="254" spans="13:15" x14ac:dyDescent="0.3">
      <c r="M254"/>
      <c r="N254"/>
      <c r="O254"/>
    </row>
    <row r="255" spans="13:15" x14ac:dyDescent="0.3">
      <c r="M255"/>
      <c r="N255"/>
      <c r="O255"/>
    </row>
    <row r="256" spans="13:15" x14ac:dyDescent="0.3">
      <c r="M256"/>
      <c r="N256"/>
      <c r="O256"/>
    </row>
    <row r="257" spans="13:15" x14ac:dyDescent="0.3">
      <c r="M257"/>
      <c r="N257"/>
      <c r="O257"/>
    </row>
    <row r="258" spans="13:15" x14ac:dyDescent="0.3">
      <c r="M258"/>
      <c r="N258"/>
      <c r="O258"/>
    </row>
    <row r="259" spans="13:15" x14ac:dyDescent="0.3">
      <c r="M259"/>
      <c r="N259"/>
      <c r="O259"/>
    </row>
    <row r="260" spans="13:15" x14ac:dyDescent="0.3">
      <c r="M260"/>
      <c r="N260"/>
      <c r="O260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204C-0A60-43C7-86C3-2D61DA77CD01}">
  <dimension ref="A1:AE260"/>
  <sheetViews>
    <sheetView workbookViewId="0"/>
  </sheetViews>
  <sheetFormatPr baseColWidth="10" defaultRowHeight="14.4" x14ac:dyDescent="0.3"/>
  <cols>
    <col min="1" max="1" width="17.88671875" style="1" customWidth="1"/>
    <col min="2" max="2" width="13.77734375" style="1" customWidth="1"/>
    <col min="3" max="3" width="11.5546875" style="1"/>
    <col min="4" max="4" width="9.44140625" style="1" customWidth="1"/>
    <col min="5" max="5" width="15.77734375" style="1" bestFit="1" customWidth="1"/>
    <col min="6" max="7" width="11.5546875" style="1"/>
    <col min="8" max="8" width="9.44140625" style="1" customWidth="1"/>
    <col min="9" max="9" width="15.77734375" style="1" bestFit="1" customWidth="1"/>
    <col min="10" max="12" width="11.5546875" style="1"/>
    <col min="13" max="13" width="15.77734375" style="1" bestFit="1" customWidth="1"/>
    <col min="14" max="16384" width="11.5546875" style="1"/>
  </cols>
  <sheetData>
    <row r="1" spans="1:31" s="4" customFormat="1" x14ac:dyDescent="0.3">
      <c r="A1" s="3" t="s">
        <v>11</v>
      </c>
      <c r="B1" s="3"/>
      <c r="C1" s="3"/>
    </row>
    <row r="2" spans="1:31" x14ac:dyDescent="0.3">
      <c r="A2" s="2" t="s">
        <v>1</v>
      </c>
      <c r="B2" s="2" t="s">
        <v>2</v>
      </c>
      <c r="C2" s="2" t="s">
        <v>3</v>
      </c>
      <c r="E2" s="2" t="s">
        <v>1</v>
      </c>
      <c r="F2" s="2" t="s">
        <v>2</v>
      </c>
      <c r="G2" s="2" t="s">
        <v>3</v>
      </c>
      <c r="I2" s="2" t="s">
        <v>1</v>
      </c>
      <c r="J2" s="2" t="s">
        <v>2</v>
      </c>
      <c r="K2" s="2" t="s">
        <v>3</v>
      </c>
      <c r="M2" s="2"/>
      <c r="N2" s="2"/>
      <c r="O2" s="2"/>
      <c r="Q2" s="2"/>
      <c r="R2" s="2"/>
      <c r="S2" s="2"/>
      <c r="U2" s="2"/>
      <c r="V2" s="2"/>
      <c r="W2" s="2"/>
      <c r="Y2" s="2"/>
      <c r="Z2" s="2"/>
      <c r="AA2" s="2"/>
      <c r="AC2" s="2"/>
      <c r="AD2" s="2"/>
      <c r="AE2" s="2"/>
    </row>
    <row r="3" spans="1:31" x14ac:dyDescent="0.3">
      <c r="A3" s="2" t="s">
        <v>0</v>
      </c>
      <c r="B3" s="2" t="s">
        <v>4</v>
      </c>
      <c r="C3" s="2" t="s">
        <v>5</v>
      </c>
      <c r="E3" s="2" t="s">
        <v>0</v>
      </c>
      <c r="F3" s="2" t="s">
        <v>4</v>
      </c>
      <c r="G3" s="2" t="s">
        <v>5</v>
      </c>
      <c r="I3" s="2" t="s">
        <v>0</v>
      </c>
      <c r="J3" s="2" t="s">
        <v>4</v>
      </c>
      <c r="K3" s="2" t="s">
        <v>5</v>
      </c>
      <c r="M3" s="2"/>
      <c r="N3" s="2"/>
      <c r="O3" s="2"/>
      <c r="Q3" s="2"/>
      <c r="R3" s="2"/>
      <c r="S3" s="2"/>
      <c r="U3" s="2"/>
      <c r="V3" s="2"/>
      <c r="W3" s="2"/>
      <c r="Y3" s="2"/>
      <c r="Z3" s="2"/>
      <c r="AA3" s="2"/>
      <c r="AC3" s="2"/>
      <c r="AD3" s="2"/>
      <c r="AE3" s="2"/>
    </row>
    <row r="4" spans="1:31" x14ac:dyDescent="0.3">
      <c r="A4" s="1">
        <v>1.6263529999999999</v>
      </c>
      <c r="B4" s="1">
        <f>273.15-4.5</f>
        <v>268.64999999999998</v>
      </c>
      <c r="C4" s="1">
        <v>154.0787</v>
      </c>
      <c r="E4" s="1">
        <v>1.566678</v>
      </c>
      <c r="F4" s="1">
        <f>273.15-5.3</f>
        <v>267.84999999999997</v>
      </c>
      <c r="G4" s="1">
        <v>150.29910000000001</v>
      </c>
      <c r="I4" s="1">
        <v>1.4954989999999999</v>
      </c>
      <c r="J4" s="1">
        <f>273.15+14.7</f>
        <v>287.84999999999997</v>
      </c>
      <c r="K4" s="1">
        <v>150.3031</v>
      </c>
      <c r="M4"/>
      <c r="N4"/>
      <c r="O4"/>
      <c r="Q4"/>
      <c r="R4"/>
      <c r="S4"/>
      <c r="U4"/>
      <c r="V4"/>
      <c r="W4"/>
      <c r="Y4"/>
      <c r="Z4"/>
      <c r="AA4"/>
      <c r="AC4"/>
      <c r="AD4"/>
      <c r="AE4"/>
    </row>
    <row r="5" spans="1:31" x14ac:dyDescent="0.3">
      <c r="A5" s="1">
        <v>1.6313930000000001</v>
      </c>
      <c r="B5" s="1">
        <f t="shared" ref="B5:B39" si="0">273.15-4.5</f>
        <v>268.64999999999998</v>
      </c>
      <c r="C5" s="1">
        <v>140.9597</v>
      </c>
      <c r="E5" s="1">
        <v>1.570935</v>
      </c>
      <c r="F5" s="1">
        <f t="shared" ref="F5:F59" si="1">273.15-5.3</f>
        <v>267.84999999999997</v>
      </c>
      <c r="G5" s="1">
        <v>143.5256</v>
      </c>
      <c r="I5" s="1">
        <v>1.49332</v>
      </c>
      <c r="J5" s="1">
        <f t="shared" ref="J5:J47" si="2">273.15+14.7</f>
        <v>287.84999999999997</v>
      </c>
      <c r="K5" s="1">
        <v>137.87209999999999</v>
      </c>
      <c r="M5"/>
      <c r="N5"/>
      <c r="O5"/>
      <c r="Q5"/>
      <c r="R5"/>
      <c r="S5"/>
      <c r="U5"/>
      <c r="V5"/>
      <c r="W5"/>
      <c r="Y5"/>
      <c r="Z5"/>
      <c r="AA5"/>
      <c r="AC5"/>
      <c r="AD5"/>
      <c r="AE5"/>
    </row>
    <row r="6" spans="1:31" x14ac:dyDescent="0.3">
      <c r="A6" s="1">
        <v>1.638501</v>
      </c>
      <c r="B6" s="1">
        <f t="shared" si="0"/>
        <v>268.64999999999998</v>
      </c>
      <c r="C6" s="1">
        <v>130.51480000000001</v>
      </c>
      <c r="E6" s="1">
        <v>1.570662</v>
      </c>
      <c r="F6" s="1">
        <f t="shared" si="1"/>
        <v>267.84999999999997</v>
      </c>
      <c r="G6" s="1">
        <v>132.2808</v>
      </c>
      <c r="I6" s="1">
        <v>1.4857419999999999</v>
      </c>
      <c r="J6" s="1">
        <f t="shared" si="2"/>
        <v>287.84999999999997</v>
      </c>
      <c r="K6" s="1">
        <v>128.0076</v>
      </c>
      <c r="M6"/>
      <c r="N6"/>
      <c r="O6"/>
      <c r="Q6"/>
      <c r="R6"/>
      <c r="S6"/>
      <c r="U6"/>
      <c r="V6"/>
      <c r="W6"/>
      <c r="Y6"/>
      <c r="Z6"/>
      <c r="AA6"/>
      <c r="AC6"/>
      <c r="AD6"/>
      <c r="AE6"/>
    </row>
    <row r="7" spans="1:31" x14ac:dyDescent="0.3">
      <c r="A7" s="1">
        <v>1.6410610000000001</v>
      </c>
      <c r="B7" s="1">
        <f t="shared" si="0"/>
        <v>268.64999999999998</v>
      </c>
      <c r="C7" s="1">
        <v>122.09829999999999</v>
      </c>
      <c r="E7" s="1">
        <v>1.5702659999999999</v>
      </c>
      <c r="F7" s="1">
        <f t="shared" si="1"/>
        <v>267.84999999999997</v>
      </c>
      <c r="G7" s="1">
        <v>123.265</v>
      </c>
      <c r="I7" s="1">
        <v>1.477271</v>
      </c>
      <c r="J7" s="1">
        <f t="shared" si="2"/>
        <v>287.84999999999997</v>
      </c>
      <c r="K7" s="1">
        <v>120.11960000000001</v>
      </c>
      <c r="M7"/>
      <c r="N7"/>
      <c r="O7"/>
      <c r="Q7"/>
      <c r="R7"/>
      <c r="S7"/>
      <c r="U7"/>
      <c r="V7"/>
      <c r="W7"/>
      <c r="Y7"/>
      <c r="Z7"/>
      <c r="AA7"/>
      <c r="AC7"/>
      <c r="AD7"/>
      <c r="AE7"/>
    </row>
    <row r="8" spans="1:31" x14ac:dyDescent="0.3">
      <c r="A8" s="1">
        <v>1.64361</v>
      </c>
      <c r="B8" s="1">
        <f t="shared" si="0"/>
        <v>268.64999999999998</v>
      </c>
      <c r="C8" s="1">
        <v>115.32729999999999</v>
      </c>
      <c r="E8" s="1">
        <v>1.567474</v>
      </c>
      <c r="F8" s="1">
        <f t="shared" si="1"/>
        <v>267.84999999999997</v>
      </c>
      <c r="G8" s="1">
        <v>115.9974</v>
      </c>
      <c r="I8" s="1">
        <v>1.46872</v>
      </c>
      <c r="J8" s="1">
        <f t="shared" si="2"/>
        <v>287.84999999999997</v>
      </c>
      <c r="K8" s="1">
        <v>113.8005</v>
      </c>
      <c r="M8"/>
      <c r="N8"/>
      <c r="O8"/>
      <c r="Q8"/>
      <c r="R8"/>
      <c r="S8"/>
      <c r="U8"/>
      <c r="V8"/>
      <c r="W8"/>
      <c r="Y8"/>
      <c r="Z8"/>
      <c r="AA8"/>
      <c r="AC8"/>
      <c r="AD8"/>
      <c r="AE8"/>
    </row>
    <row r="9" spans="1:31" x14ac:dyDescent="0.3">
      <c r="A9" s="1">
        <v>1.6431629999999999</v>
      </c>
      <c r="B9" s="1">
        <f t="shared" si="0"/>
        <v>268.64999999999998</v>
      </c>
      <c r="C9" s="1">
        <v>107.5389</v>
      </c>
      <c r="E9" s="1">
        <v>1.5639190000000001</v>
      </c>
      <c r="F9" s="1">
        <f t="shared" si="1"/>
        <v>267.84999999999997</v>
      </c>
      <c r="G9" s="1">
        <v>107.66889999999999</v>
      </c>
      <c r="I9" s="1">
        <v>1.44861</v>
      </c>
      <c r="J9" s="1">
        <f t="shared" si="2"/>
        <v>287.84999999999997</v>
      </c>
      <c r="K9" s="1">
        <v>106.6339</v>
      </c>
      <c r="M9"/>
      <c r="N9"/>
      <c r="O9"/>
      <c r="Q9"/>
      <c r="R9"/>
      <c r="S9"/>
      <c r="U9"/>
      <c r="V9"/>
      <c r="W9"/>
      <c r="Y9"/>
      <c r="Z9"/>
      <c r="AA9"/>
      <c r="AC9"/>
      <c r="AD9"/>
      <c r="AE9"/>
    </row>
    <row r="10" spans="1:31" x14ac:dyDescent="0.3">
      <c r="A10" s="1">
        <v>1.642887</v>
      </c>
      <c r="B10" s="1">
        <f t="shared" si="0"/>
        <v>268.64999999999998</v>
      </c>
      <c r="C10" s="1">
        <v>100.3023</v>
      </c>
      <c r="E10" s="1">
        <v>1.5563750000000001</v>
      </c>
      <c r="F10" s="1">
        <f t="shared" si="1"/>
        <v>267.84999999999997</v>
      </c>
      <c r="G10" s="1">
        <v>99.975750000000005</v>
      </c>
      <c r="I10" s="1">
        <v>1.42361</v>
      </c>
      <c r="J10" s="1">
        <f t="shared" si="2"/>
        <v>287.84999999999997</v>
      </c>
      <c r="K10" s="1">
        <v>100.0364</v>
      </c>
      <c r="M10"/>
      <c r="N10"/>
      <c r="O10"/>
      <c r="Q10"/>
      <c r="R10"/>
      <c r="S10"/>
      <c r="U10"/>
      <c r="V10"/>
      <c r="W10"/>
      <c r="Y10"/>
      <c r="Z10"/>
      <c r="AA10"/>
      <c r="AC10"/>
      <c r="AD10"/>
      <c r="AE10"/>
    </row>
    <row r="11" spans="1:31" x14ac:dyDescent="0.3">
      <c r="A11" s="1">
        <v>1.654425</v>
      </c>
      <c r="B11" s="1">
        <f t="shared" si="0"/>
        <v>268.64999999999998</v>
      </c>
      <c r="C11" s="1">
        <v>93.934449999999998</v>
      </c>
      <c r="E11" s="1">
        <v>1.5463880000000001</v>
      </c>
      <c r="F11" s="1">
        <f t="shared" si="1"/>
        <v>267.84999999999997</v>
      </c>
      <c r="G11" s="1">
        <v>93.024860000000004</v>
      </c>
      <c r="I11" s="1">
        <v>1.3940410000000001</v>
      </c>
      <c r="J11" s="1">
        <f t="shared" si="2"/>
        <v>287.84999999999997</v>
      </c>
      <c r="K11" s="1">
        <v>94.028549999999996</v>
      </c>
      <c r="M11"/>
      <c r="N11"/>
      <c r="O11"/>
      <c r="Q11"/>
      <c r="R11"/>
      <c r="S11"/>
      <c r="U11"/>
      <c r="V11"/>
      <c r="W11"/>
      <c r="Y11"/>
      <c r="Z11"/>
      <c r="AA11"/>
      <c r="AC11"/>
      <c r="AD11"/>
      <c r="AE11"/>
    </row>
    <row r="12" spans="1:31" x14ac:dyDescent="0.3">
      <c r="A12" s="1">
        <v>1.656892</v>
      </c>
      <c r="B12" s="1">
        <f t="shared" si="0"/>
        <v>268.64999999999998</v>
      </c>
      <c r="C12" s="1">
        <v>89.016810000000007</v>
      </c>
      <c r="E12" s="1">
        <v>1.534186</v>
      </c>
      <c r="F12" s="1">
        <f t="shared" si="1"/>
        <v>267.84999999999997</v>
      </c>
      <c r="G12" s="1">
        <v>87.675370000000001</v>
      </c>
      <c r="I12" s="1">
        <v>1.3609180000000001</v>
      </c>
      <c r="J12" s="1">
        <f t="shared" si="2"/>
        <v>287.84999999999997</v>
      </c>
      <c r="K12" s="1">
        <v>89.273910000000001</v>
      </c>
      <c r="M12"/>
      <c r="N12"/>
      <c r="O12"/>
      <c r="Q12"/>
      <c r="R12"/>
      <c r="S12"/>
      <c r="U12"/>
      <c r="V12"/>
      <c r="W12"/>
      <c r="Y12"/>
      <c r="Z12"/>
      <c r="AA12"/>
      <c r="AC12"/>
      <c r="AD12"/>
      <c r="AE12"/>
    </row>
    <row r="13" spans="1:31" x14ac:dyDescent="0.3">
      <c r="A13" s="1">
        <v>1.631923</v>
      </c>
      <c r="B13" s="1">
        <f t="shared" si="0"/>
        <v>268.64999999999998</v>
      </c>
      <c r="C13" s="1">
        <v>77.152789999999996</v>
      </c>
      <c r="E13" s="1">
        <v>1.5076639999999999</v>
      </c>
      <c r="F13" s="1">
        <f t="shared" si="1"/>
        <v>267.84999999999997</v>
      </c>
      <c r="G13" s="1">
        <v>81.872110000000006</v>
      </c>
      <c r="I13" s="1">
        <v>1.3068709999999999</v>
      </c>
      <c r="J13" s="1">
        <f t="shared" si="2"/>
        <v>287.84999999999997</v>
      </c>
      <c r="K13" s="1">
        <v>84.112570000000005</v>
      </c>
      <c r="M13"/>
      <c r="N13"/>
      <c r="O13"/>
      <c r="Q13"/>
      <c r="R13"/>
      <c r="S13"/>
      <c r="U13"/>
      <c r="V13"/>
      <c r="W13"/>
      <c r="Y13"/>
      <c r="Z13"/>
      <c r="AA13"/>
      <c r="AC13"/>
      <c r="AD13"/>
      <c r="AE13"/>
    </row>
    <row r="14" spans="1:31" x14ac:dyDescent="0.3">
      <c r="A14" s="1">
        <v>1.603291</v>
      </c>
      <c r="B14" s="1">
        <f t="shared" si="0"/>
        <v>268.64999999999998</v>
      </c>
      <c r="C14" s="1">
        <v>66.247010000000003</v>
      </c>
      <c r="E14" s="1">
        <v>1.4495150000000001</v>
      </c>
      <c r="F14" s="1">
        <f t="shared" si="1"/>
        <v>267.84999999999997</v>
      </c>
      <c r="G14" s="1">
        <v>72.368639999999999</v>
      </c>
      <c r="I14" s="1">
        <v>1.1946859999999999</v>
      </c>
      <c r="J14" s="1">
        <f t="shared" si="2"/>
        <v>287.84999999999997</v>
      </c>
      <c r="K14" s="1">
        <v>75.814070000000001</v>
      </c>
      <c r="M14"/>
      <c r="N14"/>
      <c r="O14"/>
      <c r="Q14"/>
      <c r="R14"/>
      <c r="S14"/>
      <c r="U14"/>
      <c r="V14"/>
      <c r="W14"/>
      <c r="Y14"/>
      <c r="Z14"/>
      <c r="AA14"/>
      <c r="AC14"/>
      <c r="AD14"/>
      <c r="AE14"/>
    </row>
    <row r="15" spans="1:31" x14ac:dyDescent="0.3">
      <c r="A15" s="1">
        <v>1.5727530000000001</v>
      </c>
      <c r="B15" s="1">
        <f t="shared" si="0"/>
        <v>268.64999999999998</v>
      </c>
      <c r="C15" s="1">
        <v>60.188870000000001</v>
      </c>
      <c r="E15" s="1">
        <v>1.3811249999999999</v>
      </c>
      <c r="F15" s="1">
        <f t="shared" si="1"/>
        <v>267.84999999999997</v>
      </c>
      <c r="G15" s="1">
        <v>65.385379999999998</v>
      </c>
      <c r="I15" s="1">
        <v>1.0393859999999999</v>
      </c>
      <c r="J15" s="1">
        <f t="shared" si="2"/>
        <v>287.84999999999997</v>
      </c>
      <c r="K15" s="1">
        <v>68.318160000000006</v>
      </c>
      <c r="M15"/>
      <c r="N15"/>
      <c r="O15"/>
      <c r="Q15"/>
      <c r="R15"/>
      <c r="S15"/>
      <c r="U15"/>
      <c r="V15"/>
      <c r="W15"/>
      <c r="Y15"/>
      <c r="Z15"/>
      <c r="AA15"/>
      <c r="AC15"/>
      <c r="AD15"/>
      <c r="AE15"/>
    </row>
    <row r="16" spans="1:31" x14ac:dyDescent="0.3">
      <c r="A16" s="1">
        <v>1.525055</v>
      </c>
      <c r="B16" s="1">
        <f t="shared" si="0"/>
        <v>268.64999999999998</v>
      </c>
      <c r="C16" s="1">
        <v>53.828409999999998</v>
      </c>
      <c r="E16" s="1">
        <v>1.3034269999999999</v>
      </c>
      <c r="F16" s="1">
        <f t="shared" si="1"/>
        <v>267.84999999999997</v>
      </c>
      <c r="G16" s="1">
        <v>60.269860000000001</v>
      </c>
      <c r="I16" s="1">
        <v>0.95338599999999996</v>
      </c>
      <c r="J16" s="1">
        <f t="shared" si="2"/>
        <v>287.84999999999997</v>
      </c>
      <c r="K16" s="1">
        <v>65.073160000000001</v>
      </c>
      <c r="M16"/>
      <c r="N16"/>
      <c r="O16"/>
      <c r="Q16"/>
      <c r="R16"/>
      <c r="S16"/>
      <c r="U16"/>
      <c r="V16"/>
      <c r="W16"/>
      <c r="Y16"/>
      <c r="Z16"/>
      <c r="AA16"/>
      <c r="AC16"/>
      <c r="AD16"/>
      <c r="AE16"/>
    </row>
    <row r="17" spans="1:31" x14ac:dyDescent="0.3">
      <c r="A17" s="1">
        <v>1.4573640000000001</v>
      </c>
      <c r="B17" s="1">
        <f t="shared" si="0"/>
        <v>268.64999999999998</v>
      </c>
      <c r="C17" s="1">
        <v>47.928379999999997</v>
      </c>
      <c r="E17" s="1">
        <v>1.1874640000000001</v>
      </c>
      <c r="F17" s="1">
        <f t="shared" si="1"/>
        <v>267.84999999999997</v>
      </c>
      <c r="G17" s="1">
        <v>55.01153</v>
      </c>
      <c r="I17" s="1">
        <v>0.80669299999999999</v>
      </c>
      <c r="J17" s="1">
        <f t="shared" si="2"/>
        <v>287.84999999999997</v>
      </c>
      <c r="K17" s="1">
        <v>59.44267</v>
      </c>
      <c r="M17"/>
      <c r="N17"/>
      <c r="O17"/>
      <c r="Q17"/>
      <c r="R17"/>
      <c r="S17"/>
      <c r="U17"/>
      <c r="V17"/>
      <c r="W17"/>
      <c r="Y17"/>
      <c r="Z17"/>
      <c r="AA17"/>
      <c r="AC17"/>
      <c r="AD17"/>
      <c r="AE17"/>
    </row>
    <row r="18" spans="1:31" x14ac:dyDescent="0.3">
      <c r="A18" s="1">
        <v>1.3506910000000001</v>
      </c>
      <c r="B18" s="1">
        <f t="shared" si="0"/>
        <v>268.64999999999998</v>
      </c>
      <c r="C18" s="1">
        <v>42.416589999999999</v>
      </c>
      <c r="E18" s="1">
        <v>1.026958</v>
      </c>
      <c r="F18" s="1">
        <f t="shared" si="1"/>
        <v>267.84999999999997</v>
      </c>
      <c r="G18" s="1">
        <v>50.398719999999997</v>
      </c>
      <c r="I18" s="1">
        <v>0.71522699999999995</v>
      </c>
      <c r="J18" s="1">
        <f t="shared" si="2"/>
        <v>287.84999999999997</v>
      </c>
      <c r="K18" s="1">
        <v>54.380600000000001</v>
      </c>
      <c r="M18"/>
      <c r="N18"/>
      <c r="O18"/>
      <c r="Q18"/>
      <c r="R18"/>
      <c r="S18"/>
      <c r="U18"/>
      <c r="V18"/>
      <c r="W18"/>
      <c r="Y18"/>
      <c r="Z18"/>
      <c r="AA18"/>
      <c r="AC18"/>
      <c r="AD18"/>
      <c r="AE18"/>
    </row>
    <row r="19" spans="1:31" x14ac:dyDescent="0.3">
      <c r="A19" s="1">
        <v>1.2138819999999999</v>
      </c>
      <c r="B19" s="1">
        <f t="shared" si="0"/>
        <v>268.64999999999998</v>
      </c>
      <c r="C19" s="1">
        <v>38.207239999999999</v>
      </c>
      <c r="E19" s="1">
        <v>0.84506199999999998</v>
      </c>
      <c r="F19" s="1">
        <f t="shared" si="1"/>
        <v>267.84999999999997</v>
      </c>
      <c r="G19" s="1">
        <v>46.489939999999997</v>
      </c>
      <c r="I19" s="1">
        <v>0.64381500000000003</v>
      </c>
      <c r="J19" s="1">
        <f t="shared" si="2"/>
        <v>287.84999999999997</v>
      </c>
      <c r="K19" s="1">
        <v>49.029809999999998</v>
      </c>
      <c r="M19"/>
      <c r="N19"/>
      <c r="O19"/>
      <c r="Q19"/>
      <c r="R19"/>
      <c r="S19"/>
      <c r="U19"/>
      <c r="V19"/>
      <c r="W19"/>
      <c r="Y19"/>
      <c r="Z19"/>
      <c r="AA19"/>
      <c r="AC19"/>
      <c r="AD19"/>
      <c r="AE19"/>
    </row>
    <row r="20" spans="1:31" x14ac:dyDescent="0.3">
      <c r="A20" s="1">
        <v>1.0750580000000001</v>
      </c>
      <c r="B20" s="1">
        <f t="shared" si="0"/>
        <v>268.64999999999998</v>
      </c>
      <c r="C20" s="1">
        <v>35.661700000000003</v>
      </c>
      <c r="E20" s="1">
        <v>0.70816500000000004</v>
      </c>
      <c r="F20" s="1">
        <f t="shared" si="1"/>
        <v>267.84999999999997</v>
      </c>
      <c r="G20" s="1">
        <v>41.984349999999999</v>
      </c>
      <c r="I20" s="1">
        <v>0.58431599999999995</v>
      </c>
      <c r="J20" s="1">
        <f t="shared" si="2"/>
        <v>287.84999999999997</v>
      </c>
      <c r="K20" s="1">
        <v>43.33616</v>
      </c>
      <c r="M20"/>
      <c r="N20"/>
      <c r="O20"/>
      <c r="Q20"/>
      <c r="R20"/>
      <c r="S20"/>
      <c r="U20"/>
      <c r="V20"/>
      <c r="W20"/>
      <c r="Y20"/>
      <c r="Z20"/>
      <c r="AA20"/>
      <c r="AC20"/>
      <c r="AD20"/>
      <c r="AE20"/>
    </row>
    <row r="21" spans="1:31" x14ac:dyDescent="0.3">
      <c r="A21" s="1">
        <v>0.95419600000000004</v>
      </c>
      <c r="B21" s="1">
        <f t="shared" si="0"/>
        <v>268.64999999999998</v>
      </c>
      <c r="C21" s="1">
        <v>34.253950000000003</v>
      </c>
      <c r="E21" s="1">
        <v>0.627996</v>
      </c>
      <c r="F21" s="1">
        <f t="shared" si="1"/>
        <v>267.84999999999997</v>
      </c>
      <c r="G21" s="1">
        <v>37.701639999999998</v>
      </c>
      <c r="I21" s="1">
        <v>0.53818900000000003</v>
      </c>
      <c r="J21" s="1">
        <f t="shared" si="2"/>
        <v>287.84999999999997</v>
      </c>
      <c r="K21" s="1">
        <v>37.97354</v>
      </c>
      <c r="M21"/>
      <c r="N21"/>
      <c r="O21"/>
      <c r="Q21"/>
      <c r="R21"/>
      <c r="S21"/>
      <c r="U21"/>
      <c r="V21"/>
      <c r="W21"/>
      <c r="Y21"/>
      <c r="Z21"/>
      <c r="AA21"/>
      <c r="AC21"/>
      <c r="AD21"/>
      <c r="AE21"/>
    </row>
    <row r="22" spans="1:31" x14ac:dyDescent="0.3">
      <c r="A22" s="1">
        <v>0.73214400000000002</v>
      </c>
      <c r="B22" s="1">
        <f t="shared" si="0"/>
        <v>268.64999999999998</v>
      </c>
      <c r="C22" s="1">
        <v>30.71461</v>
      </c>
      <c r="E22" s="1">
        <v>0.58694599999999997</v>
      </c>
      <c r="F22" s="1">
        <f t="shared" si="1"/>
        <v>267.84999999999997</v>
      </c>
      <c r="G22" s="1">
        <v>34.915179999999999</v>
      </c>
      <c r="I22" s="1">
        <v>0.51292000000000004</v>
      </c>
      <c r="J22" s="1">
        <f t="shared" si="2"/>
        <v>287.84999999999997</v>
      </c>
      <c r="K22" s="1">
        <v>34.777859999999997</v>
      </c>
      <c r="M22"/>
      <c r="N22"/>
      <c r="O22"/>
      <c r="Q22"/>
      <c r="R22"/>
      <c r="S22"/>
      <c r="U22"/>
      <c r="V22"/>
      <c r="W22"/>
      <c r="Y22"/>
      <c r="Z22"/>
      <c r="AA22"/>
      <c r="AC22"/>
      <c r="AD22"/>
      <c r="AE22"/>
    </row>
    <row r="23" spans="1:31" x14ac:dyDescent="0.3">
      <c r="A23" s="1">
        <v>0.59481300000000004</v>
      </c>
      <c r="B23" s="1">
        <f t="shared" si="0"/>
        <v>268.64999999999998</v>
      </c>
      <c r="C23" s="1">
        <v>25.894380000000002</v>
      </c>
      <c r="E23" s="1">
        <v>0.51045200000000002</v>
      </c>
      <c r="F23" s="1">
        <f t="shared" si="1"/>
        <v>267.84999999999997</v>
      </c>
      <c r="G23" s="1">
        <v>29.142749999999999</v>
      </c>
      <c r="I23" s="1">
        <v>0.46162599999999998</v>
      </c>
      <c r="J23" s="1">
        <f t="shared" si="2"/>
        <v>287.84999999999997</v>
      </c>
      <c r="K23" s="1">
        <v>28.685199999999998</v>
      </c>
      <c r="M23"/>
      <c r="N23"/>
      <c r="O23"/>
      <c r="Q23"/>
      <c r="R23"/>
      <c r="S23"/>
      <c r="U23"/>
      <c r="V23"/>
      <c r="W23"/>
      <c r="Y23"/>
      <c r="Z23"/>
      <c r="AA23"/>
      <c r="AC23"/>
      <c r="AD23"/>
      <c r="AE23"/>
    </row>
    <row r="24" spans="1:31" x14ac:dyDescent="0.3">
      <c r="A24" s="1">
        <v>0.51427199999999995</v>
      </c>
      <c r="B24" s="1">
        <f t="shared" si="0"/>
        <v>268.64999999999998</v>
      </c>
      <c r="C24" s="1">
        <v>21.437570000000001</v>
      </c>
      <c r="E24" s="1">
        <v>0.44969199999999998</v>
      </c>
      <c r="F24" s="1">
        <f t="shared" si="1"/>
        <v>267.84999999999997</v>
      </c>
      <c r="G24" s="1">
        <v>23.638960000000001</v>
      </c>
      <c r="I24" s="1">
        <v>0.416605</v>
      </c>
      <c r="J24" s="1">
        <f t="shared" si="2"/>
        <v>287.84999999999997</v>
      </c>
      <c r="K24" s="1">
        <v>23.076589999999999</v>
      </c>
      <c r="M24"/>
      <c r="N24"/>
      <c r="O24"/>
      <c r="Q24"/>
      <c r="R24"/>
      <c r="S24"/>
      <c r="U24"/>
      <c r="V24"/>
      <c r="W24"/>
      <c r="Y24"/>
      <c r="Z24"/>
      <c r="AA24"/>
      <c r="AC24"/>
      <c r="AD24"/>
      <c r="AE24"/>
    </row>
    <row r="25" spans="1:31" x14ac:dyDescent="0.3">
      <c r="A25" s="1">
        <v>0.471387</v>
      </c>
      <c r="B25" s="1">
        <f t="shared" si="0"/>
        <v>268.64999999999998</v>
      </c>
      <c r="C25" s="1">
        <v>18.600549999999998</v>
      </c>
      <c r="E25" s="1">
        <v>0.40549499999999999</v>
      </c>
      <c r="F25" s="1">
        <f t="shared" si="1"/>
        <v>267.84999999999997</v>
      </c>
      <c r="G25" s="1">
        <v>19.285419999999998</v>
      </c>
      <c r="I25" s="1">
        <v>0.38157600000000003</v>
      </c>
      <c r="J25" s="1">
        <f t="shared" si="2"/>
        <v>287.84999999999997</v>
      </c>
      <c r="K25" s="1">
        <v>18.735469999999999</v>
      </c>
      <c r="M25"/>
      <c r="N25"/>
      <c r="O25"/>
      <c r="Q25"/>
      <c r="R25"/>
      <c r="S25"/>
      <c r="U25"/>
      <c r="V25"/>
      <c r="W25"/>
      <c r="Y25"/>
      <c r="Z25"/>
      <c r="AA25"/>
      <c r="AC25"/>
      <c r="AD25"/>
      <c r="AE25"/>
    </row>
    <row r="26" spans="1:31" x14ac:dyDescent="0.3">
      <c r="A26" s="1">
        <v>0.40644000000000002</v>
      </c>
      <c r="B26" s="1">
        <f t="shared" si="0"/>
        <v>268.64999999999998</v>
      </c>
      <c r="C26" s="1">
        <v>14.0488</v>
      </c>
      <c r="E26" s="1">
        <v>0.37965199999999999</v>
      </c>
      <c r="F26" s="1">
        <f t="shared" si="1"/>
        <v>267.84999999999997</v>
      </c>
      <c r="G26" s="1">
        <v>16.693069999999999</v>
      </c>
      <c r="I26" s="1">
        <v>0.35991800000000002</v>
      </c>
      <c r="J26" s="1">
        <f t="shared" si="2"/>
        <v>287.84999999999997</v>
      </c>
      <c r="K26" s="1">
        <v>16.198239999999998</v>
      </c>
      <c r="M26"/>
      <c r="N26"/>
      <c r="O26"/>
      <c r="Q26"/>
      <c r="R26"/>
      <c r="S26"/>
      <c r="U26"/>
      <c r="V26"/>
      <c r="W26"/>
      <c r="Y26"/>
      <c r="Z26"/>
      <c r="AA26"/>
      <c r="AC26"/>
      <c r="AD26"/>
      <c r="AE26"/>
    </row>
    <row r="27" spans="1:31" x14ac:dyDescent="0.3">
      <c r="A27" s="1">
        <v>0.36752499999999999</v>
      </c>
      <c r="B27" s="1">
        <f t="shared" si="0"/>
        <v>268.64999999999998</v>
      </c>
      <c r="C27" s="1">
        <v>11.2965</v>
      </c>
      <c r="E27" s="1">
        <v>0.33710200000000001</v>
      </c>
      <c r="F27" s="1">
        <f t="shared" si="1"/>
        <v>267.84999999999997</v>
      </c>
      <c r="G27" s="1">
        <v>12.772650000000001</v>
      </c>
      <c r="I27" s="1">
        <v>0.32020799999999999</v>
      </c>
      <c r="J27" s="1">
        <f t="shared" si="2"/>
        <v>287.84999999999997</v>
      </c>
      <c r="K27" s="1">
        <v>11.998950000000001</v>
      </c>
      <c r="M27"/>
      <c r="N27"/>
      <c r="O27"/>
      <c r="Q27"/>
      <c r="R27"/>
      <c r="S27"/>
      <c r="U27"/>
      <c r="V27"/>
      <c r="W27"/>
      <c r="Y27"/>
      <c r="Z27"/>
      <c r="AA27"/>
      <c r="AC27"/>
      <c r="AD27"/>
      <c r="AE27"/>
    </row>
    <row r="28" spans="1:31" x14ac:dyDescent="0.3">
      <c r="A28" s="1">
        <v>0.32618000000000003</v>
      </c>
      <c r="B28" s="1">
        <f t="shared" si="0"/>
        <v>268.64999999999998</v>
      </c>
      <c r="C28" s="1">
        <v>8.5621050000000007</v>
      </c>
      <c r="E28" s="1">
        <v>0.30580200000000002</v>
      </c>
      <c r="F28" s="1">
        <f t="shared" si="1"/>
        <v>267.84999999999997</v>
      </c>
      <c r="G28" s="1">
        <v>10.135770000000001</v>
      </c>
      <c r="I28" s="1">
        <v>0.294207</v>
      </c>
      <c r="J28" s="1">
        <f t="shared" si="2"/>
        <v>287.84999999999997</v>
      </c>
      <c r="K28" s="1">
        <v>9.5513630000000003</v>
      </c>
      <c r="M28"/>
      <c r="N28"/>
      <c r="O28"/>
      <c r="Q28"/>
      <c r="R28"/>
      <c r="S28"/>
      <c r="U28"/>
      <c r="V28"/>
      <c r="W28"/>
      <c r="Y28"/>
      <c r="Z28"/>
      <c r="AA28"/>
      <c r="AC28"/>
      <c r="AD28"/>
      <c r="AE28"/>
    </row>
    <row r="29" spans="1:31" x14ac:dyDescent="0.3">
      <c r="A29" s="1">
        <v>0.29233199999999998</v>
      </c>
      <c r="B29" s="1">
        <f t="shared" si="0"/>
        <v>268.64999999999998</v>
      </c>
      <c r="C29" s="1">
        <v>6.5302389999999999</v>
      </c>
      <c r="E29" s="1">
        <v>0.27255099999999999</v>
      </c>
      <c r="F29" s="1">
        <f t="shared" si="1"/>
        <v>267.84999999999997</v>
      </c>
      <c r="G29" s="1">
        <v>7.6240810000000003</v>
      </c>
      <c r="I29" s="1">
        <v>0.26489800000000002</v>
      </c>
      <c r="J29" s="1">
        <f t="shared" si="2"/>
        <v>287.84999999999997</v>
      </c>
      <c r="K29" s="1">
        <v>7.1571160000000003</v>
      </c>
      <c r="M29"/>
      <c r="N29"/>
      <c r="O29"/>
      <c r="Q29"/>
      <c r="R29"/>
      <c r="S29"/>
      <c r="U29"/>
      <c r="V29"/>
      <c r="W29"/>
      <c r="Y29"/>
      <c r="Z29"/>
      <c r="AA29"/>
      <c r="AC29"/>
      <c r="AD29"/>
      <c r="AE29"/>
    </row>
    <row r="30" spans="1:31" x14ac:dyDescent="0.3">
      <c r="A30" s="1">
        <v>0.26416000000000001</v>
      </c>
      <c r="B30" s="1">
        <f t="shared" si="0"/>
        <v>268.64999999999998</v>
      </c>
      <c r="C30" s="1">
        <v>5.0103150000000003</v>
      </c>
      <c r="E30" s="1">
        <v>0.24463699999999999</v>
      </c>
      <c r="F30" s="1">
        <f t="shared" si="1"/>
        <v>267.84999999999997</v>
      </c>
      <c r="G30" s="1">
        <v>5.7768360000000003</v>
      </c>
      <c r="I30" s="1">
        <v>0.239921</v>
      </c>
      <c r="J30" s="1">
        <f t="shared" si="2"/>
        <v>287.84999999999997</v>
      </c>
      <c r="K30" s="1">
        <v>5.4025670000000003</v>
      </c>
      <c r="M30"/>
      <c r="N30"/>
      <c r="O30"/>
      <c r="Q30"/>
      <c r="R30"/>
      <c r="S30"/>
      <c r="U30"/>
      <c r="V30"/>
      <c r="W30"/>
      <c r="Y30"/>
      <c r="Z30"/>
      <c r="AA30"/>
      <c r="AC30"/>
      <c r="AD30"/>
      <c r="AE30"/>
    </row>
    <row r="31" spans="1:31" x14ac:dyDescent="0.3">
      <c r="A31" s="1">
        <v>0.23952899999999999</v>
      </c>
      <c r="B31" s="1">
        <f t="shared" si="0"/>
        <v>268.64999999999998</v>
      </c>
      <c r="C31" s="1">
        <v>3.8847640000000001</v>
      </c>
      <c r="E31" s="1">
        <v>0.220305</v>
      </c>
      <c r="F31" s="1">
        <f t="shared" si="1"/>
        <v>267.84999999999997</v>
      </c>
      <c r="G31" s="1">
        <v>4.4164479999999999</v>
      </c>
      <c r="I31" s="1">
        <v>0.217861</v>
      </c>
      <c r="J31" s="1">
        <f t="shared" si="2"/>
        <v>287.84999999999997</v>
      </c>
      <c r="K31" s="1">
        <v>4.120069</v>
      </c>
      <c r="M31"/>
      <c r="N31"/>
      <c r="O31"/>
      <c r="Q31"/>
      <c r="R31"/>
      <c r="S31"/>
      <c r="U31"/>
      <c r="V31"/>
      <c r="W31"/>
      <c r="Y31"/>
      <c r="Z31"/>
      <c r="AA31"/>
      <c r="AC31"/>
      <c r="AD31"/>
      <c r="AE31"/>
    </row>
    <row r="32" spans="1:31" x14ac:dyDescent="0.3">
      <c r="A32" s="1">
        <v>0.21870400000000001</v>
      </c>
      <c r="B32" s="1">
        <f t="shared" si="0"/>
        <v>268.64999999999998</v>
      </c>
      <c r="C32" s="1">
        <v>3.038071</v>
      </c>
      <c r="E32" s="1">
        <v>0.199489</v>
      </c>
      <c r="F32" s="1">
        <f t="shared" si="1"/>
        <v>267.84999999999997</v>
      </c>
      <c r="G32" s="1">
        <v>3.403994</v>
      </c>
      <c r="I32" s="1">
        <v>0.19930999999999999</v>
      </c>
      <c r="J32" s="1">
        <f t="shared" si="2"/>
        <v>287.84999999999997</v>
      </c>
      <c r="K32" s="1">
        <v>3.1645539999999999</v>
      </c>
      <c r="M32"/>
      <c r="N32"/>
      <c r="O32"/>
      <c r="Q32"/>
      <c r="R32"/>
      <c r="S32"/>
      <c r="U32"/>
      <c r="V32"/>
      <c r="W32"/>
      <c r="Y32"/>
      <c r="Z32"/>
      <c r="AA32"/>
      <c r="AC32"/>
      <c r="AD32"/>
      <c r="AE32"/>
    </row>
    <row r="33" spans="1:31" x14ac:dyDescent="0.3">
      <c r="A33" s="1">
        <v>0.20047499999999999</v>
      </c>
      <c r="B33" s="1">
        <f t="shared" si="0"/>
        <v>268.64999999999998</v>
      </c>
      <c r="C33" s="1">
        <v>2.4040629999999998</v>
      </c>
      <c r="E33" s="1">
        <v>0.181199</v>
      </c>
      <c r="F33" s="1">
        <f t="shared" si="1"/>
        <v>267.84999999999997</v>
      </c>
      <c r="G33" s="1">
        <v>2.6516950000000001</v>
      </c>
      <c r="I33" s="1">
        <v>0.18254000000000001</v>
      </c>
      <c r="J33" s="1">
        <f t="shared" si="2"/>
        <v>287.84999999999997</v>
      </c>
      <c r="K33" s="1">
        <v>2.4642599999999999</v>
      </c>
      <c r="M33"/>
      <c r="N33"/>
      <c r="O33"/>
      <c r="Q33"/>
      <c r="R33"/>
      <c r="S33"/>
      <c r="U33"/>
      <c r="V33"/>
      <c r="W33"/>
      <c r="Y33"/>
      <c r="Z33"/>
      <c r="AA33"/>
      <c r="AC33"/>
      <c r="AD33"/>
      <c r="AE33"/>
    </row>
    <row r="34" spans="1:31" x14ac:dyDescent="0.3">
      <c r="A34" s="1">
        <v>0.18484</v>
      </c>
      <c r="B34" s="1">
        <f t="shared" si="0"/>
        <v>268.64999999999998</v>
      </c>
      <c r="C34" s="1">
        <v>1.918944</v>
      </c>
      <c r="E34" s="1">
        <v>0.16548299999999999</v>
      </c>
      <c r="F34" s="1">
        <f t="shared" si="1"/>
        <v>267.84999999999997</v>
      </c>
      <c r="G34" s="1">
        <v>2.0874459999999999</v>
      </c>
      <c r="I34" s="1">
        <v>0.16803199999999999</v>
      </c>
      <c r="J34" s="1">
        <f t="shared" si="2"/>
        <v>287.84999999999997</v>
      </c>
      <c r="K34" s="1">
        <v>1.9382680000000001</v>
      </c>
      <c r="M34"/>
      <c r="N34"/>
      <c r="O34"/>
      <c r="Q34"/>
      <c r="R34"/>
      <c r="S34"/>
      <c r="U34"/>
      <c r="V34"/>
      <c r="W34"/>
      <c r="Y34"/>
      <c r="Z34"/>
      <c r="AA34"/>
      <c r="AC34"/>
      <c r="AD34"/>
      <c r="AE34"/>
    </row>
    <row r="35" spans="1:31" x14ac:dyDescent="0.3">
      <c r="A35" s="1">
        <v>0.17130899999999999</v>
      </c>
      <c r="B35" s="1">
        <f t="shared" si="0"/>
        <v>268.64999999999998</v>
      </c>
      <c r="C35" s="1">
        <v>1.547571</v>
      </c>
      <c r="E35" s="1">
        <v>0.151866</v>
      </c>
      <c r="F35" s="1">
        <f t="shared" si="1"/>
        <v>267.84999999999997</v>
      </c>
      <c r="G35" s="1">
        <v>1.6612849999999999</v>
      </c>
      <c r="I35" s="1">
        <v>0.15564900000000001</v>
      </c>
      <c r="J35" s="1">
        <f t="shared" si="2"/>
        <v>287.84999999999997</v>
      </c>
      <c r="K35" s="1">
        <v>1.5380659999999999</v>
      </c>
      <c r="M35"/>
      <c r="N35"/>
      <c r="O35"/>
      <c r="Q35"/>
      <c r="R35"/>
      <c r="S35"/>
      <c r="U35"/>
      <c r="V35"/>
      <c r="W35"/>
      <c r="Y35"/>
      <c r="Z35"/>
      <c r="AA35"/>
      <c r="AC35"/>
      <c r="AD35"/>
      <c r="AE35"/>
    </row>
    <row r="36" spans="1:31" x14ac:dyDescent="0.3">
      <c r="A36" s="1">
        <v>0.159386</v>
      </c>
      <c r="B36" s="1">
        <f t="shared" si="0"/>
        <v>268.64999999999998</v>
      </c>
      <c r="C36" s="1">
        <v>1.26014</v>
      </c>
      <c r="E36" s="1">
        <v>0.13980400000000001</v>
      </c>
      <c r="F36" s="1">
        <f t="shared" si="1"/>
        <v>267.84999999999997</v>
      </c>
      <c r="G36" s="1">
        <v>1.3365899999999999</v>
      </c>
      <c r="I36" s="1">
        <v>0.14494199999999999</v>
      </c>
      <c r="J36" s="1">
        <f t="shared" si="2"/>
        <v>287.84999999999997</v>
      </c>
      <c r="K36" s="1">
        <v>1.23512</v>
      </c>
      <c r="M36"/>
      <c r="N36"/>
      <c r="O36"/>
      <c r="Q36"/>
      <c r="R36"/>
      <c r="S36"/>
      <c r="U36"/>
      <c r="V36"/>
      <c r="W36"/>
      <c r="Y36"/>
      <c r="Z36"/>
      <c r="AA36"/>
      <c r="AC36"/>
      <c r="AD36"/>
      <c r="AE36"/>
    </row>
    <row r="37" spans="1:31" x14ac:dyDescent="0.3">
      <c r="A37" s="1">
        <v>0.14854300000000001</v>
      </c>
      <c r="B37" s="1">
        <f t="shared" si="0"/>
        <v>268.64999999999998</v>
      </c>
      <c r="C37" s="1">
        <v>1.0388200000000001</v>
      </c>
      <c r="E37" s="1">
        <v>0.12926799999999999</v>
      </c>
      <c r="F37" s="1">
        <f t="shared" si="1"/>
        <v>267.84999999999997</v>
      </c>
      <c r="G37" s="1">
        <v>1.086292</v>
      </c>
      <c r="I37" s="1">
        <v>0.13501299999999999</v>
      </c>
      <c r="J37" s="1">
        <f t="shared" si="2"/>
        <v>287.84999999999997</v>
      </c>
      <c r="K37" s="1">
        <v>1.0082610000000001</v>
      </c>
      <c r="M37"/>
      <c r="N37"/>
      <c r="O37"/>
      <c r="Q37"/>
      <c r="R37"/>
      <c r="S37"/>
      <c r="U37"/>
      <c r="V37"/>
      <c r="W37"/>
      <c r="Y37"/>
      <c r="Z37"/>
      <c r="AA37"/>
      <c r="AC37"/>
      <c r="AD37"/>
      <c r="AE37"/>
    </row>
    <row r="38" spans="1:31" x14ac:dyDescent="0.3">
      <c r="A38" s="1">
        <v>0.13930999999999999</v>
      </c>
      <c r="B38" s="1">
        <f t="shared" si="0"/>
        <v>268.64999999999998</v>
      </c>
      <c r="C38" s="1">
        <v>0.86333910000000003</v>
      </c>
      <c r="E38" s="1">
        <v>0.119809</v>
      </c>
      <c r="F38" s="1">
        <f t="shared" si="1"/>
        <v>267.84999999999997</v>
      </c>
      <c r="G38" s="1">
        <v>0.89545439999999998</v>
      </c>
      <c r="I38" s="1">
        <v>0.12656400000000001</v>
      </c>
      <c r="J38" s="1">
        <f t="shared" si="2"/>
        <v>287.84999999999997</v>
      </c>
      <c r="K38" s="1">
        <v>0.82771320000000004</v>
      </c>
      <c r="M38"/>
      <c r="N38"/>
      <c r="O38"/>
      <c r="Q38"/>
      <c r="R38"/>
      <c r="S38"/>
      <c r="U38"/>
      <c r="V38"/>
      <c r="W38"/>
      <c r="Y38"/>
      <c r="Z38"/>
      <c r="AA38"/>
      <c r="AC38"/>
      <c r="AD38"/>
      <c r="AE38"/>
    </row>
    <row r="39" spans="1:31" x14ac:dyDescent="0.3">
      <c r="A39" s="1">
        <v>0.13091</v>
      </c>
      <c r="B39" s="1">
        <f t="shared" si="0"/>
        <v>268.64999999999998</v>
      </c>
      <c r="C39" s="1">
        <v>0.72548590000000002</v>
      </c>
      <c r="E39" s="1">
        <v>0.111528</v>
      </c>
      <c r="F39" s="1">
        <f t="shared" si="1"/>
        <v>267.84999999999997</v>
      </c>
      <c r="G39" s="1">
        <v>0.7422706</v>
      </c>
      <c r="I39" s="1">
        <v>0.11879199999999999</v>
      </c>
      <c r="J39" s="1">
        <f t="shared" si="2"/>
        <v>287.84999999999997</v>
      </c>
      <c r="K39" s="1">
        <v>0.69042630000000005</v>
      </c>
      <c r="M39"/>
      <c r="N39"/>
      <c r="O39"/>
      <c r="Q39"/>
      <c r="R39"/>
      <c r="S39"/>
      <c r="U39"/>
      <c r="V39"/>
      <c r="W39"/>
      <c r="Y39"/>
      <c r="Z39"/>
      <c r="AA39"/>
      <c r="AC39"/>
      <c r="AD39"/>
      <c r="AE39"/>
    </row>
    <row r="40" spans="1:31" x14ac:dyDescent="0.3">
      <c r="E40" s="1">
        <v>0.103548</v>
      </c>
      <c r="F40" s="1">
        <f t="shared" si="1"/>
        <v>267.84999999999997</v>
      </c>
      <c r="G40" s="1">
        <v>0.63003830000000005</v>
      </c>
      <c r="I40" s="1">
        <v>0.111702</v>
      </c>
      <c r="J40" s="1">
        <f t="shared" si="2"/>
        <v>287.84999999999997</v>
      </c>
      <c r="K40" s="1">
        <v>0.58618230000000004</v>
      </c>
      <c r="M40"/>
      <c r="N40"/>
      <c r="O40"/>
      <c r="Q40"/>
      <c r="R40"/>
      <c r="S40"/>
      <c r="U40"/>
      <c r="V40"/>
      <c r="W40"/>
      <c r="Y40"/>
      <c r="Z40"/>
      <c r="AA40"/>
      <c r="AC40"/>
      <c r="AD40"/>
      <c r="AE40"/>
    </row>
    <row r="41" spans="1:31" x14ac:dyDescent="0.3">
      <c r="E41" s="1">
        <v>9.6797999999999995E-2</v>
      </c>
      <c r="F41" s="1">
        <f t="shared" si="1"/>
        <v>267.84999999999997</v>
      </c>
      <c r="G41" s="1">
        <v>0.53601310000000002</v>
      </c>
      <c r="I41" s="1">
        <v>0.10532999999999999</v>
      </c>
      <c r="J41" s="1">
        <f t="shared" si="2"/>
        <v>287.84999999999997</v>
      </c>
      <c r="K41" s="1">
        <v>0.50190040000000002</v>
      </c>
      <c r="M41"/>
      <c r="N41"/>
      <c r="O41"/>
      <c r="Q41"/>
      <c r="R41"/>
      <c r="S41"/>
      <c r="U41"/>
      <c r="V41"/>
      <c r="W41"/>
      <c r="Y41"/>
      <c r="Z41"/>
      <c r="AA41"/>
      <c r="AC41"/>
      <c r="AD41"/>
      <c r="AE41"/>
    </row>
    <row r="42" spans="1:31" x14ac:dyDescent="0.3">
      <c r="E42" s="1">
        <v>9.0824000000000002E-2</v>
      </c>
      <c r="F42" s="1">
        <f t="shared" si="1"/>
        <v>267.84999999999997</v>
      </c>
      <c r="G42" s="1">
        <v>0.4602948</v>
      </c>
      <c r="I42" s="1">
        <v>0.10019500000000001</v>
      </c>
      <c r="J42" s="1">
        <f t="shared" si="2"/>
        <v>287.84999999999997</v>
      </c>
      <c r="K42" s="1">
        <v>0.429122</v>
      </c>
      <c r="M42"/>
      <c r="N42"/>
      <c r="O42"/>
      <c r="Q42"/>
      <c r="R42"/>
      <c r="S42"/>
      <c r="U42"/>
      <c r="V42"/>
      <c r="W42"/>
      <c r="AC42"/>
      <c r="AD42"/>
      <c r="AE42"/>
    </row>
    <row r="43" spans="1:31" x14ac:dyDescent="0.3">
      <c r="E43" s="1">
        <v>8.5793999999999995E-2</v>
      </c>
      <c r="F43" s="1">
        <f t="shared" si="1"/>
        <v>267.84999999999997</v>
      </c>
      <c r="G43" s="1">
        <v>0.394455</v>
      </c>
      <c r="I43" s="1">
        <v>9.5510999999999999E-2</v>
      </c>
      <c r="J43" s="1">
        <f t="shared" si="2"/>
        <v>287.84999999999997</v>
      </c>
      <c r="K43" s="1">
        <v>0.37196940000000001</v>
      </c>
      <c r="M43"/>
      <c r="N43"/>
      <c r="O43"/>
      <c r="Q43"/>
      <c r="R43"/>
      <c r="S43"/>
      <c r="U43"/>
      <c r="V43"/>
      <c r="W43"/>
      <c r="AC43"/>
      <c r="AD43"/>
      <c r="AE43"/>
    </row>
    <row r="44" spans="1:31" x14ac:dyDescent="0.3">
      <c r="E44" s="1">
        <v>8.1206E-2</v>
      </c>
      <c r="F44" s="1">
        <f t="shared" si="1"/>
        <v>267.84999999999997</v>
      </c>
      <c r="G44" s="1">
        <v>0.34480139999999998</v>
      </c>
      <c r="I44" s="1">
        <v>9.1192999999999996E-2</v>
      </c>
      <c r="J44" s="1">
        <f t="shared" si="2"/>
        <v>287.84999999999997</v>
      </c>
      <c r="K44" s="1">
        <v>0.32708609999999999</v>
      </c>
      <c r="M44"/>
      <c r="N44"/>
      <c r="O44"/>
      <c r="Q44"/>
      <c r="R44"/>
      <c r="S44"/>
      <c r="U44"/>
      <c r="V44"/>
      <c r="W44"/>
      <c r="AC44"/>
      <c r="AD44"/>
      <c r="AE44"/>
    </row>
    <row r="45" spans="1:31" x14ac:dyDescent="0.3">
      <c r="E45" s="1">
        <v>7.6956999999999998E-2</v>
      </c>
      <c r="F45" s="1">
        <f t="shared" si="1"/>
        <v>267.84999999999997</v>
      </c>
      <c r="G45" s="1">
        <v>0.3032242</v>
      </c>
      <c r="I45" s="1">
        <v>8.7510000000000004E-2</v>
      </c>
      <c r="J45" s="1">
        <f t="shared" si="2"/>
        <v>287.84999999999997</v>
      </c>
      <c r="K45" s="1">
        <v>0.28802820000000001</v>
      </c>
      <c r="M45"/>
      <c r="N45"/>
      <c r="O45"/>
      <c r="Q45"/>
      <c r="R45"/>
      <c r="S45"/>
      <c r="U45"/>
      <c r="V45"/>
      <c r="W45"/>
      <c r="AC45"/>
      <c r="AD45"/>
      <c r="AE45"/>
    </row>
    <row r="46" spans="1:31" x14ac:dyDescent="0.3">
      <c r="E46" s="1">
        <v>7.3235999999999996E-2</v>
      </c>
      <c r="F46" s="1">
        <f t="shared" si="1"/>
        <v>267.84999999999997</v>
      </c>
      <c r="G46" s="1">
        <v>0.26776430000000001</v>
      </c>
      <c r="I46" s="1">
        <v>8.3984000000000003E-2</v>
      </c>
      <c r="J46" s="1">
        <f t="shared" si="2"/>
        <v>287.84999999999997</v>
      </c>
      <c r="K46" s="1">
        <v>0.25762239999999997</v>
      </c>
      <c r="M46"/>
      <c r="N46"/>
      <c r="O46"/>
      <c r="Q46"/>
      <c r="R46"/>
      <c r="S46"/>
      <c r="U46"/>
      <c r="V46"/>
      <c r="W46"/>
      <c r="AC46"/>
      <c r="AD46"/>
      <c r="AE46"/>
    </row>
    <row r="47" spans="1:31" x14ac:dyDescent="0.3">
      <c r="E47" s="1">
        <v>6.9790000000000005E-2</v>
      </c>
      <c r="F47" s="1">
        <f t="shared" si="1"/>
        <v>267.84999999999997</v>
      </c>
      <c r="G47" s="1">
        <v>0.23858969999999999</v>
      </c>
      <c r="I47" s="1">
        <v>8.0865999999999993E-2</v>
      </c>
      <c r="J47" s="1">
        <f t="shared" si="2"/>
        <v>287.84999999999997</v>
      </c>
      <c r="K47" s="1">
        <v>0.2303839</v>
      </c>
      <c r="M47"/>
      <c r="N47"/>
      <c r="O47"/>
      <c r="Q47"/>
      <c r="R47"/>
      <c r="S47"/>
      <c r="U47"/>
      <c r="V47"/>
      <c r="W47"/>
    </row>
    <row r="48" spans="1:31" x14ac:dyDescent="0.3">
      <c r="E48" s="1">
        <v>6.6734000000000002E-2</v>
      </c>
      <c r="F48" s="1">
        <f t="shared" si="1"/>
        <v>267.84999999999997</v>
      </c>
      <c r="G48" s="1">
        <v>0.2127385</v>
      </c>
      <c r="M48"/>
      <c r="N48"/>
      <c r="O48"/>
      <c r="Q48"/>
      <c r="R48"/>
      <c r="S48"/>
      <c r="U48"/>
      <c r="V48"/>
      <c r="W48"/>
    </row>
    <row r="49" spans="5:23" x14ac:dyDescent="0.3">
      <c r="E49" s="1">
        <v>6.3530000000000003E-2</v>
      </c>
      <c r="F49" s="1">
        <f t="shared" si="1"/>
        <v>267.84999999999997</v>
      </c>
      <c r="G49" s="1">
        <v>0.19165389999999999</v>
      </c>
      <c r="M49"/>
      <c r="N49"/>
      <c r="O49"/>
      <c r="Q49"/>
      <c r="R49"/>
      <c r="S49"/>
      <c r="U49"/>
      <c r="V49"/>
      <c r="W49"/>
    </row>
    <row r="50" spans="5:23" x14ac:dyDescent="0.3">
      <c r="E50" s="1">
        <v>6.0727999999999997E-2</v>
      </c>
      <c r="F50" s="1">
        <f t="shared" si="1"/>
        <v>267.84999999999997</v>
      </c>
      <c r="G50" s="1">
        <v>0.173322</v>
      </c>
      <c r="M50"/>
      <c r="N50"/>
      <c r="O50"/>
      <c r="Q50"/>
      <c r="R50"/>
      <c r="S50"/>
      <c r="U50"/>
      <c r="V50"/>
      <c r="W50"/>
    </row>
    <row r="51" spans="5:23" x14ac:dyDescent="0.3">
      <c r="E51" s="1">
        <v>5.8078999999999999E-2</v>
      </c>
      <c r="F51" s="1">
        <f t="shared" si="1"/>
        <v>267.84999999999997</v>
      </c>
      <c r="G51" s="1">
        <v>0.15820110000000001</v>
      </c>
      <c r="M51"/>
      <c r="N51"/>
      <c r="O51"/>
      <c r="Q51"/>
      <c r="R51"/>
      <c r="S51"/>
      <c r="U51"/>
      <c r="V51"/>
      <c r="W51"/>
    </row>
    <row r="52" spans="5:23" x14ac:dyDescent="0.3">
      <c r="E52" s="1">
        <v>5.5661000000000002E-2</v>
      </c>
      <c r="F52" s="1">
        <f t="shared" si="1"/>
        <v>267.84999999999997</v>
      </c>
      <c r="G52" s="1">
        <v>0.14329230000000001</v>
      </c>
      <c r="M52"/>
      <c r="N52"/>
      <c r="O52"/>
      <c r="Q52"/>
      <c r="R52"/>
      <c r="S52"/>
      <c r="U52"/>
      <c r="V52"/>
      <c r="W52"/>
    </row>
    <row r="53" spans="5:23" x14ac:dyDescent="0.3">
      <c r="E53" s="1">
        <v>5.3392000000000002E-2</v>
      </c>
      <c r="F53" s="1">
        <f t="shared" si="1"/>
        <v>267.84999999999997</v>
      </c>
      <c r="G53" s="1">
        <v>0.13122880000000001</v>
      </c>
      <c r="M53"/>
      <c r="N53"/>
      <c r="O53"/>
      <c r="Q53"/>
      <c r="R53"/>
      <c r="S53"/>
      <c r="U53"/>
      <c r="V53"/>
      <c r="W53"/>
    </row>
    <row r="54" spans="5:23" x14ac:dyDescent="0.3">
      <c r="E54" s="1">
        <v>5.1207999999999997E-2</v>
      </c>
      <c r="F54" s="1">
        <f t="shared" si="1"/>
        <v>267.84999999999997</v>
      </c>
      <c r="G54" s="1">
        <v>0.12060419999999999</v>
      </c>
      <c r="M54"/>
      <c r="N54"/>
      <c r="O54"/>
      <c r="Q54"/>
      <c r="R54"/>
      <c r="S54"/>
      <c r="U54"/>
      <c r="V54"/>
      <c r="W54"/>
    </row>
    <row r="55" spans="5:23" x14ac:dyDescent="0.3">
      <c r="E55" s="1">
        <v>4.9009999999999998E-2</v>
      </c>
      <c r="F55" s="1">
        <f t="shared" si="1"/>
        <v>267.84999999999997</v>
      </c>
      <c r="G55" s="1">
        <v>0.1112624</v>
      </c>
      <c r="M55"/>
      <c r="N55"/>
      <c r="O55"/>
      <c r="Q55"/>
      <c r="R55"/>
      <c r="S55"/>
      <c r="U55"/>
      <c r="V55"/>
      <c r="W55"/>
    </row>
    <row r="56" spans="5:23" x14ac:dyDescent="0.3">
      <c r="E56" s="1">
        <v>4.7655999999999997E-2</v>
      </c>
      <c r="F56" s="1">
        <f t="shared" si="1"/>
        <v>267.84999999999997</v>
      </c>
      <c r="G56" s="1">
        <v>0.1038519</v>
      </c>
      <c r="M56"/>
      <c r="N56"/>
      <c r="O56"/>
      <c r="Q56"/>
      <c r="R56"/>
      <c r="S56"/>
      <c r="U56"/>
      <c r="V56"/>
      <c r="W56"/>
    </row>
    <row r="57" spans="5:23" x14ac:dyDescent="0.3">
      <c r="E57" s="1">
        <v>4.5927000000000003E-2</v>
      </c>
      <c r="F57" s="1">
        <f t="shared" si="1"/>
        <v>267.84999999999997</v>
      </c>
      <c r="G57" s="1">
        <v>9.6069989999999994E-2</v>
      </c>
      <c r="M57"/>
      <c r="N57"/>
      <c r="O57"/>
      <c r="Q57"/>
      <c r="R57"/>
      <c r="S57"/>
      <c r="U57"/>
      <c r="V57"/>
      <c r="W57"/>
    </row>
    <row r="58" spans="5:23" x14ac:dyDescent="0.3">
      <c r="E58" s="1">
        <v>4.4623999999999997E-2</v>
      </c>
      <c r="F58" s="1">
        <f t="shared" si="1"/>
        <v>267.84999999999997</v>
      </c>
      <c r="G58" s="1">
        <v>8.992406E-2</v>
      </c>
      <c r="M58"/>
      <c r="N58"/>
      <c r="O58"/>
      <c r="Q58"/>
      <c r="R58"/>
      <c r="S58"/>
      <c r="U58"/>
      <c r="V58"/>
      <c r="W58"/>
    </row>
    <row r="59" spans="5:23" x14ac:dyDescent="0.3">
      <c r="E59" s="1">
        <v>4.2907000000000001E-2</v>
      </c>
      <c r="F59" s="1">
        <f t="shared" si="1"/>
        <v>267.84999999999997</v>
      </c>
      <c r="G59" s="1">
        <v>8.3403699999999997E-2</v>
      </c>
      <c r="M59"/>
      <c r="N59"/>
      <c r="O59"/>
      <c r="Q59"/>
      <c r="R59"/>
      <c r="S59"/>
      <c r="U59"/>
      <c r="V59"/>
      <c r="W59"/>
    </row>
    <row r="60" spans="5:23" x14ac:dyDescent="0.3">
      <c r="M60"/>
      <c r="N60"/>
      <c r="O60"/>
      <c r="Q60"/>
      <c r="R60"/>
      <c r="S60"/>
      <c r="U60"/>
      <c r="V60"/>
      <c r="W60"/>
    </row>
    <row r="61" spans="5:23" x14ac:dyDescent="0.3">
      <c r="M61"/>
      <c r="N61"/>
      <c r="O61"/>
      <c r="Q61"/>
      <c r="R61"/>
      <c r="S61"/>
      <c r="U61"/>
      <c r="V61"/>
      <c r="W61"/>
    </row>
    <row r="62" spans="5:23" x14ac:dyDescent="0.3">
      <c r="M62"/>
      <c r="N62"/>
      <c r="O62"/>
      <c r="Q62"/>
      <c r="R62"/>
      <c r="S62"/>
      <c r="U62"/>
      <c r="V62"/>
      <c r="W62"/>
    </row>
    <row r="63" spans="5:23" x14ac:dyDescent="0.3">
      <c r="M63"/>
      <c r="N63"/>
      <c r="O63"/>
      <c r="Q63"/>
      <c r="R63"/>
      <c r="S63"/>
      <c r="U63"/>
      <c r="V63"/>
      <c r="W63"/>
    </row>
    <row r="64" spans="5:23" x14ac:dyDescent="0.3">
      <c r="M64"/>
      <c r="N64"/>
      <c r="O64"/>
      <c r="Q64"/>
      <c r="R64"/>
      <c r="S64"/>
      <c r="U64"/>
      <c r="V64"/>
      <c r="W64"/>
    </row>
    <row r="65" spans="13:23" x14ac:dyDescent="0.3">
      <c r="M65"/>
      <c r="N65"/>
      <c r="O65"/>
      <c r="Q65"/>
      <c r="R65"/>
      <c r="S65"/>
      <c r="U65"/>
      <c r="V65"/>
      <c r="W65"/>
    </row>
    <row r="66" spans="13:23" x14ac:dyDescent="0.3">
      <c r="M66"/>
      <c r="N66"/>
      <c r="O66"/>
      <c r="Q66"/>
      <c r="R66"/>
      <c r="S66"/>
      <c r="U66"/>
      <c r="V66"/>
      <c r="W66"/>
    </row>
    <row r="67" spans="13:23" x14ac:dyDescent="0.3">
      <c r="M67"/>
      <c r="N67"/>
      <c r="O67"/>
      <c r="Q67"/>
      <c r="R67"/>
      <c r="S67"/>
      <c r="U67"/>
      <c r="V67"/>
      <c r="W67"/>
    </row>
    <row r="68" spans="13:23" x14ac:dyDescent="0.3">
      <c r="M68"/>
      <c r="N68"/>
      <c r="O68"/>
      <c r="Q68"/>
      <c r="R68"/>
      <c r="S68"/>
      <c r="U68"/>
      <c r="V68"/>
      <c r="W68"/>
    </row>
    <row r="69" spans="13:23" x14ac:dyDescent="0.3">
      <c r="M69"/>
      <c r="N69"/>
      <c r="O69"/>
      <c r="Q69"/>
      <c r="R69"/>
      <c r="S69"/>
      <c r="U69"/>
      <c r="V69"/>
      <c r="W69"/>
    </row>
    <row r="70" spans="13:23" x14ac:dyDescent="0.3">
      <c r="M70"/>
      <c r="N70"/>
      <c r="O70"/>
      <c r="Q70"/>
      <c r="R70"/>
      <c r="S70"/>
      <c r="U70"/>
      <c r="V70"/>
      <c r="W70"/>
    </row>
    <row r="71" spans="13:23" x14ac:dyDescent="0.3">
      <c r="M71"/>
      <c r="N71"/>
      <c r="O71"/>
      <c r="Q71"/>
      <c r="R71"/>
      <c r="S71"/>
      <c r="U71"/>
      <c r="V71"/>
      <c r="W71"/>
    </row>
    <row r="72" spans="13:23" x14ac:dyDescent="0.3">
      <c r="M72"/>
      <c r="N72"/>
      <c r="O72"/>
      <c r="Q72"/>
      <c r="R72"/>
      <c r="S72"/>
      <c r="U72"/>
      <c r="V72"/>
      <c r="W72"/>
    </row>
    <row r="73" spans="13:23" x14ac:dyDescent="0.3">
      <c r="M73"/>
      <c r="N73"/>
      <c r="O73"/>
      <c r="Q73"/>
      <c r="R73"/>
      <c r="S73"/>
      <c r="U73"/>
      <c r="V73"/>
      <c r="W73"/>
    </row>
    <row r="74" spans="13:23" x14ac:dyDescent="0.3">
      <c r="M74"/>
      <c r="N74"/>
      <c r="O74"/>
      <c r="Q74"/>
      <c r="R74"/>
      <c r="S74"/>
      <c r="U74"/>
      <c r="V74"/>
      <c r="W74"/>
    </row>
    <row r="75" spans="13:23" x14ac:dyDescent="0.3">
      <c r="M75"/>
      <c r="N75"/>
      <c r="O75"/>
      <c r="Q75"/>
      <c r="R75"/>
      <c r="S75"/>
      <c r="U75"/>
      <c r="V75"/>
      <c r="W75"/>
    </row>
    <row r="76" spans="13:23" x14ac:dyDescent="0.3">
      <c r="M76"/>
      <c r="N76"/>
      <c r="O76"/>
      <c r="Q76"/>
      <c r="R76"/>
      <c r="S76"/>
      <c r="U76"/>
      <c r="V76"/>
      <c r="W76"/>
    </row>
    <row r="77" spans="13:23" x14ac:dyDescent="0.3">
      <c r="M77"/>
      <c r="N77"/>
      <c r="O77"/>
      <c r="Q77"/>
      <c r="R77"/>
      <c r="S77"/>
      <c r="U77"/>
      <c r="V77"/>
      <c r="W77"/>
    </row>
    <row r="78" spans="13:23" x14ac:dyDescent="0.3">
      <c r="M78"/>
      <c r="N78"/>
      <c r="O78"/>
      <c r="Q78"/>
      <c r="R78"/>
      <c r="S78"/>
      <c r="U78"/>
      <c r="V78"/>
      <c r="W78"/>
    </row>
    <row r="79" spans="13:23" x14ac:dyDescent="0.3">
      <c r="M79"/>
      <c r="N79"/>
      <c r="O79"/>
      <c r="Q79"/>
      <c r="R79"/>
      <c r="S79"/>
      <c r="U79"/>
      <c r="V79"/>
      <c r="W79"/>
    </row>
    <row r="80" spans="13:23" x14ac:dyDescent="0.3">
      <c r="M80"/>
      <c r="N80"/>
      <c r="O80"/>
      <c r="Q80"/>
      <c r="R80"/>
      <c r="S80"/>
      <c r="U80"/>
      <c r="V80"/>
      <c r="W80"/>
    </row>
    <row r="81" spans="13:23" x14ac:dyDescent="0.3">
      <c r="M81"/>
      <c r="N81"/>
      <c r="O81"/>
      <c r="Q81"/>
      <c r="R81"/>
      <c r="S81"/>
      <c r="U81"/>
      <c r="V81"/>
      <c r="W81"/>
    </row>
    <row r="82" spans="13:23" x14ac:dyDescent="0.3">
      <c r="M82"/>
      <c r="N82"/>
      <c r="O82"/>
      <c r="Q82"/>
      <c r="R82"/>
      <c r="S82"/>
      <c r="U82"/>
      <c r="V82"/>
      <c r="W82"/>
    </row>
    <row r="83" spans="13:23" x14ac:dyDescent="0.3">
      <c r="M83"/>
      <c r="N83"/>
      <c r="O83"/>
      <c r="Q83"/>
      <c r="R83"/>
      <c r="S83"/>
      <c r="U83"/>
      <c r="V83"/>
      <c r="W83"/>
    </row>
    <row r="84" spans="13:23" x14ac:dyDescent="0.3">
      <c r="M84"/>
      <c r="N84"/>
      <c r="O84"/>
      <c r="Q84"/>
      <c r="R84"/>
      <c r="S84"/>
      <c r="U84"/>
      <c r="V84"/>
      <c r="W84"/>
    </row>
    <row r="85" spans="13:23" x14ac:dyDescent="0.3">
      <c r="M85"/>
      <c r="N85"/>
      <c r="O85"/>
      <c r="Q85"/>
      <c r="R85"/>
      <c r="S85"/>
      <c r="U85"/>
      <c r="V85"/>
      <c r="W85"/>
    </row>
    <row r="86" spans="13:23" x14ac:dyDescent="0.3">
      <c r="M86"/>
      <c r="N86"/>
      <c r="O86"/>
      <c r="Q86"/>
      <c r="R86"/>
      <c r="S86"/>
      <c r="U86"/>
      <c r="V86"/>
      <c r="W86"/>
    </row>
    <row r="87" spans="13:23" x14ac:dyDescent="0.3">
      <c r="M87"/>
      <c r="N87"/>
      <c r="O87"/>
      <c r="Q87"/>
      <c r="R87"/>
      <c r="S87"/>
      <c r="U87"/>
      <c r="V87"/>
      <c r="W87"/>
    </row>
    <row r="88" spans="13:23" x14ac:dyDescent="0.3">
      <c r="M88"/>
      <c r="N88"/>
      <c r="O88"/>
      <c r="Q88"/>
      <c r="R88"/>
      <c r="S88"/>
      <c r="U88"/>
      <c r="V88"/>
      <c r="W88"/>
    </row>
    <row r="89" spans="13:23" x14ac:dyDescent="0.3">
      <c r="M89"/>
      <c r="N89"/>
      <c r="O89"/>
      <c r="Q89"/>
      <c r="R89"/>
      <c r="S89"/>
      <c r="U89"/>
      <c r="V89"/>
      <c r="W89"/>
    </row>
    <row r="90" spans="13:23" x14ac:dyDescent="0.3">
      <c r="M90"/>
      <c r="N90"/>
      <c r="O90"/>
      <c r="Q90"/>
      <c r="R90"/>
      <c r="S90"/>
      <c r="U90"/>
      <c r="V90"/>
      <c r="W90"/>
    </row>
    <row r="91" spans="13:23" x14ac:dyDescent="0.3">
      <c r="M91"/>
      <c r="N91"/>
      <c r="O91"/>
      <c r="Q91"/>
      <c r="R91"/>
      <c r="S91"/>
      <c r="U91"/>
      <c r="V91"/>
      <c r="W91"/>
    </row>
    <row r="92" spans="13:23" x14ac:dyDescent="0.3">
      <c r="M92"/>
      <c r="N92"/>
      <c r="O92"/>
      <c r="Q92"/>
      <c r="R92"/>
      <c r="S92"/>
      <c r="U92"/>
      <c r="V92"/>
      <c r="W92"/>
    </row>
    <row r="93" spans="13:23" x14ac:dyDescent="0.3">
      <c r="M93"/>
      <c r="N93"/>
      <c r="O93"/>
      <c r="Q93"/>
      <c r="R93"/>
      <c r="S93"/>
    </row>
    <row r="94" spans="13:23" x14ac:dyDescent="0.3">
      <c r="M94"/>
      <c r="N94"/>
      <c r="O94"/>
      <c r="Q94"/>
      <c r="R94"/>
      <c r="S94"/>
    </row>
    <row r="95" spans="13:23" x14ac:dyDescent="0.3">
      <c r="M95"/>
      <c r="N95"/>
      <c r="O95"/>
      <c r="Q95"/>
      <c r="R95"/>
      <c r="S95"/>
    </row>
    <row r="96" spans="13:23" x14ac:dyDescent="0.3">
      <c r="M96"/>
      <c r="N96"/>
      <c r="O96"/>
      <c r="Q96"/>
      <c r="R96"/>
      <c r="S96"/>
    </row>
    <row r="97" spans="13:19" x14ac:dyDescent="0.3">
      <c r="M97"/>
      <c r="N97"/>
      <c r="O97"/>
      <c r="Q97"/>
      <c r="R97"/>
      <c r="S97"/>
    </row>
    <row r="98" spans="13:19" x14ac:dyDescent="0.3">
      <c r="M98"/>
      <c r="N98"/>
      <c r="O98"/>
      <c r="Q98"/>
      <c r="R98"/>
      <c r="S98"/>
    </row>
    <row r="99" spans="13:19" x14ac:dyDescent="0.3">
      <c r="M99"/>
      <c r="N99"/>
      <c r="O99"/>
      <c r="Q99"/>
      <c r="R99"/>
      <c r="S99"/>
    </row>
    <row r="100" spans="13:19" x14ac:dyDescent="0.3">
      <c r="M100"/>
      <c r="N100"/>
      <c r="O100"/>
      <c r="Q100"/>
      <c r="R100"/>
      <c r="S100"/>
    </row>
    <row r="101" spans="13:19" x14ac:dyDescent="0.3">
      <c r="M101"/>
      <c r="N101"/>
      <c r="O101"/>
      <c r="Q101"/>
      <c r="R101"/>
      <c r="S101"/>
    </row>
    <row r="102" spans="13:19" x14ac:dyDescent="0.3">
      <c r="M102"/>
      <c r="N102"/>
      <c r="O102"/>
      <c r="Q102"/>
      <c r="R102"/>
      <c r="S102"/>
    </row>
    <row r="103" spans="13:19" x14ac:dyDescent="0.3">
      <c r="M103"/>
      <c r="N103"/>
      <c r="O103"/>
      <c r="Q103"/>
      <c r="R103"/>
      <c r="S103"/>
    </row>
    <row r="104" spans="13:19" x14ac:dyDescent="0.3">
      <c r="M104"/>
      <c r="N104"/>
      <c r="O104"/>
      <c r="Q104"/>
      <c r="R104"/>
      <c r="S104"/>
    </row>
    <row r="105" spans="13:19" x14ac:dyDescent="0.3">
      <c r="M105"/>
      <c r="N105"/>
      <c r="O105"/>
      <c r="Q105"/>
      <c r="R105"/>
      <c r="S105"/>
    </row>
    <row r="106" spans="13:19" x14ac:dyDescent="0.3">
      <c r="M106"/>
      <c r="N106"/>
      <c r="O106"/>
      <c r="Q106"/>
      <c r="R106"/>
      <c r="S106"/>
    </row>
    <row r="107" spans="13:19" x14ac:dyDescent="0.3">
      <c r="M107"/>
      <c r="N107"/>
      <c r="O107"/>
      <c r="Q107"/>
      <c r="R107"/>
      <c r="S107"/>
    </row>
    <row r="108" spans="13:19" x14ac:dyDescent="0.3">
      <c r="M108"/>
      <c r="N108"/>
      <c r="O108"/>
      <c r="Q108"/>
      <c r="R108"/>
      <c r="S108"/>
    </row>
    <row r="109" spans="13:19" x14ac:dyDescent="0.3">
      <c r="M109"/>
      <c r="N109"/>
      <c r="O109"/>
      <c r="Q109"/>
      <c r="R109"/>
      <c r="S109"/>
    </row>
    <row r="110" spans="13:19" x14ac:dyDescent="0.3">
      <c r="M110"/>
      <c r="N110"/>
      <c r="O110"/>
      <c r="Q110"/>
      <c r="R110"/>
      <c r="S110"/>
    </row>
    <row r="111" spans="13:19" x14ac:dyDescent="0.3">
      <c r="M111"/>
      <c r="N111"/>
      <c r="O111"/>
      <c r="Q111"/>
      <c r="R111"/>
      <c r="S111"/>
    </row>
    <row r="112" spans="13:19" x14ac:dyDescent="0.3">
      <c r="M112"/>
      <c r="N112"/>
      <c r="O112"/>
      <c r="Q112"/>
      <c r="R112"/>
      <c r="S112"/>
    </row>
    <row r="113" spans="13:19" x14ac:dyDescent="0.3">
      <c r="M113"/>
      <c r="N113"/>
      <c r="O113"/>
      <c r="Q113"/>
      <c r="R113"/>
      <c r="S113"/>
    </row>
    <row r="114" spans="13:19" x14ac:dyDescent="0.3">
      <c r="M114"/>
      <c r="N114"/>
      <c r="O114"/>
      <c r="Q114"/>
      <c r="R114"/>
      <c r="S114"/>
    </row>
    <row r="115" spans="13:19" x14ac:dyDescent="0.3">
      <c r="M115"/>
      <c r="N115"/>
      <c r="O115"/>
      <c r="Q115"/>
      <c r="R115"/>
      <c r="S115"/>
    </row>
    <row r="116" spans="13:19" x14ac:dyDescent="0.3">
      <c r="M116"/>
      <c r="N116"/>
      <c r="O116"/>
      <c r="Q116"/>
      <c r="R116"/>
      <c r="S116"/>
    </row>
    <row r="117" spans="13:19" x14ac:dyDescent="0.3">
      <c r="M117"/>
      <c r="N117"/>
      <c r="O117"/>
      <c r="Q117"/>
      <c r="R117"/>
      <c r="S117"/>
    </row>
    <row r="118" spans="13:19" x14ac:dyDescent="0.3">
      <c r="M118"/>
      <c r="N118"/>
      <c r="O118"/>
      <c r="Q118"/>
      <c r="R118"/>
      <c r="S118"/>
    </row>
    <row r="119" spans="13:19" x14ac:dyDescent="0.3">
      <c r="M119"/>
      <c r="N119"/>
      <c r="O119"/>
      <c r="Q119"/>
      <c r="R119"/>
      <c r="S119"/>
    </row>
    <row r="120" spans="13:19" x14ac:dyDescent="0.3">
      <c r="M120"/>
      <c r="N120"/>
      <c r="O120"/>
      <c r="Q120"/>
      <c r="R120"/>
      <c r="S120"/>
    </row>
    <row r="121" spans="13:19" x14ac:dyDescent="0.3">
      <c r="M121"/>
      <c r="N121"/>
      <c r="O121"/>
      <c r="Q121"/>
      <c r="R121"/>
      <c r="S121"/>
    </row>
    <row r="122" spans="13:19" x14ac:dyDescent="0.3">
      <c r="M122"/>
      <c r="N122"/>
      <c r="O122"/>
      <c r="Q122"/>
      <c r="R122"/>
      <c r="S122"/>
    </row>
    <row r="123" spans="13:19" x14ac:dyDescent="0.3">
      <c r="M123"/>
      <c r="N123"/>
      <c r="O123"/>
      <c r="Q123"/>
      <c r="R123"/>
      <c r="S123"/>
    </row>
    <row r="124" spans="13:19" x14ac:dyDescent="0.3">
      <c r="M124"/>
      <c r="N124"/>
      <c r="O124"/>
      <c r="Q124"/>
      <c r="R124"/>
      <c r="S124"/>
    </row>
    <row r="125" spans="13:19" x14ac:dyDescent="0.3">
      <c r="M125"/>
      <c r="N125"/>
      <c r="O125"/>
      <c r="Q125"/>
      <c r="R125"/>
      <c r="S125"/>
    </row>
    <row r="126" spans="13:19" x14ac:dyDescent="0.3">
      <c r="M126"/>
      <c r="N126"/>
      <c r="O126"/>
      <c r="Q126"/>
      <c r="R126"/>
      <c r="S126"/>
    </row>
    <row r="127" spans="13:19" x14ac:dyDescent="0.3">
      <c r="M127"/>
      <c r="N127"/>
      <c r="O127"/>
      <c r="Q127"/>
      <c r="R127"/>
      <c r="S127"/>
    </row>
    <row r="128" spans="13:19" x14ac:dyDescent="0.3">
      <c r="M128"/>
      <c r="N128"/>
      <c r="O128"/>
      <c r="Q128"/>
      <c r="R128"/>
      <c r="S128"/>
    </row>
    <row r="129" spans="13:19" x14ac:dyDescent="0.3">
      <c r="M129"/>
      <c r="N129"/>
      <c r="O129"/>
      <c r="Q129"/>
      <c r="R129"/>
      <c r="S129"/>
    </row>
    <row r="130" spans="13:19" x14ac:dyDescent="0.3">
      <c r="M130"/>
      <c r="N130"/>
      <c r="O130"/>
      <c r="Q130"/>
      <c r="R130"/>
      <c r="S130"/>
    </row>
    <row r="131" spans="13:19" x14ac:dyDescent="0.3">
      <c r="M131"/>
      <c r="N131"/>
      <c r="O131"/>
      <c r="Q131"/>
      <c r="R131"/>
      <c r="S131"/>
    </row>
    <row r="132" spans="13:19" x14ac:dyDescent="0.3">
      <c r="M132"/>
      <c r="N132"/>
      <c r="O132"/>
      <c r="Q132"/>
      <c r="R132"/>
      <c r="S132"/>
    </row>
    <row r="133" spans="13:19" x14ac:dyDescent="0.3">
      <c r="M133"/>
      <c r="N133"/>
      <c r="O133"/>
      <c r="Q133"/>
      <c r="R133"/>
      <c r="S133"/>
    </row>
    <row r="134" spans="13:19" x14ac:dyDescent="0.3">
      <c r="M134"/>
      <c r="N134"/>
      <c r="O134"/>
      <c r="Q134"/>
      <c r="R134"/>
      <c r="S134"/>
    </row>
    <row r="135" spans="13:19" x14ac:dyDescent="0.3">
      <c r="M135"/>
      <c r="N135"/>
      <c r="O135"/>
      <c r="Q135"/>
      <c r="R135"/>
      <c r="S135"/>
    </row>
    <row r="136" spans="13:19" x14ac:dyDescent="0.3">
      <c r="M136"/>
      <c r="N136"/>
      <c r="O136"/>
      <c r="Q136"/>
      <c r="R136"/>
      <c r="S136"/>
    </row>
    <row r="137" spans="13:19" x14ac:dyDescent="0.3">
      <c r="M137"/>
      <c r="N137"/>
      <c r="O137"/>
      <c r="Q137"/>
      <c r="R137"/>
      <c r="S137"/>
    </row>
    <row r="138" spans="13:19" x14ac:dyDescent="0.3">
      <c r="M138"/>
      <c r="N138"/>
      <c r="O138"/>
      <c r="Q138"/>
      <c r="R138"/>
      <c r="S138"/>
    </row>
    <row r="139" spans="13:19" x14ac:dyDescent="0.3">
      <c r="M139"/>
      <c r="N139"/>
      <c r="O139"/>
      <c r="Q139"/>
      <c r="R139"/>
      <c r="S139"/>
    </row>
    <row r="140" spans="13:19" x14ac:dyDescent="0.3">
      <c r="M140"/>
      <c r="N140"/>
      <c r="O140"/>
      <c r="Q140"/>
      <c r="R140"/>
      <c r="S140"/>
    </row>
    <row r="141" spans="13:19" x14ac:dyDescent="0.3">
      <c r="M141"/>
      <c r="N141"/>
      <c r="O141"/>
      <c r="Q141"/>
      <c r="R141"/>
      <c r="S141"/>
    </row>
    <row r="142" spans="13:19" x14ac:dyDescent="0.3">
      <c r="M142"/>
      <c r="N142"/>
      <c r="O142"/>
      <c r="Q142"/>
      <c r="R142"/>
      <c r="S142"/>
    </row>
    <row r="143" spans="13:19" x14ac:dyDescent="0.3">
      <c r="M143"/>
      <c r="N143"/>
      <c r="O143"/>
      <c r="Q143"/>
      <c r="R143"/>
      <c r="S143"/>
    </row>
    <row r="144" spans="13:19" x14ac:dyDescent="0.3">
      <c r="M144"/>
      <c r="N144"/>
      <c r="O144"/>
      <c r="Q144"/>
      <c r="R144"/>
      <c r="S144"/>
    </row>
    <row r="145" spans="13:19" x14ac:dyDescent="0.3">
      <c r="M145"/>
      <c r="N145"/>
      <c r="O145"/>
      <c r="Q145"/>
      <c r="R145"/>
      <c r="S145"/>
    </row>
    <row r="146" spans="13:19" x14ac:dyDescent="0.3">
      <c r="M146"/>
      <c r="N146"/>
      <c r="O146"/>
      <c r="Q146"/>
      <c r="R146"/>
      <c r="S146"/>
    </row>
    <row r="147" spans="13:19" x14ac:dyDescent="0.3">
      <c r="M147"/>
      <c r="N147"/>
      <c r="O147"/>
      <c r="Q147"/>
      <c r="R147"/>
      <c r="S147"/>
    </row>
    <row r="148" spans="13:19" x14ac:dyDescent="0.3">
      <c r="M148"/>
      <c r="N148"/>
      <c r="O148"/>
      <c r="Q148"/>
      <c r="R148"/>
      <c r="S148"/>
    </row>
    <row r="149" spans="13:19" x14ac:dyDescent="0.3">
      <c r="M149"/>
      <c r="N149"/>
      <c r="O149"/>
      <c r="Q149"/>
      <c r="R149"/>
      <c r="S149"/>
    </row>
    <row r="150" spans="13:19" x14ac:dyDescent="0.3">
      <c r="M150"/>
      <c r="N150"/>
      <c r="O150"/>
      <c r="Q150"/>
      <c r="R150"/>
      <c r="S150"/>
    </row>
    <row r="151" spans="13:19" x14ac:dyDescent="0.3">
      <c r="M151"/>
      <c r="N151"/>
      <c r="O151"/>
      <c r="Q151"/>
      <c r="R151"/>
      <c r="S151"/>
    </row>
    <row r="152" spans="13:19" x14ac:dyDescent="0.3">
      <c r="M152"/>
      <c r="N152"/>
      <c r="O152"/>
      <c r="Q152"/>
      <c r="R152"/>
      <c r="S152"/>
    </row>
    <row r="153" spans="13:19" x14ac:dyDescent="0.3">
      <c r="M153"/>
      <c r="N153"/>
      <c r="O153"/>
      <c r="Q153"/>
      <c r="R153"/>
      <c r="S153"/>
    </row>
    <row r="154" spans="13:19" x14ac:dyDescent="0.3">
      <c r="M154"/>
      <c r="N154"/>
      <c r="O154"/>
      <c r="Q154"/>
      <c r="R154"/>
      <c r="S154"/>
    </row>
    <row r="155" spans="13:19" x14ac:dyDescent="0.3">
      <c r="M155"/>
      <c r="N155"/>
      <c r="O155"/>
      <c r="Q155"/>
      <c r="R155"/>
      <c r="S155"/>
    </row>
    <row r="156" spans="13:19" x14ac:dyDescent="0.3">
      <c r="M156"/>
      <c r="N156"/>
      <c r="O156"/>
      <c r="Q156"/>
      <c r="R156"/>
      <c r="S156"/>
    </row>
    <row r="157" spans="13:19" x14ac:dyDescent="0.3">
      <c r="M157"/>
      <c r="N157"/>
      <c r="O157"/>
      <c r="Q157"/>
      <c r="R157"/>
      <c r="S157"/>
    </row>
    <row r="158" spans="13:19" x14ac:dyDescent="0.3">
      <c r="M158"/>
      <c r="N158"/>
      <c r="O158"/>
      <c r="Q158"/>
      <c r="R158"/>
      <c r="S158"/>
    </row>
    <row r="159" spans="13:19" x14ac:dyDescent="0.3">
      <c r="M159"/>
      <c r="N159"/>
      <c r="O159"/>
      <c r="Q159"/>
      <c r="R159"/>
      <c r="S159"/>
    </row>
    <row r="160" spans="13:19" x14ac:dyDescent="0.3">
      <c r="M160"/>
      <c r="N160"/>
      <c r="O160"/>
      <c r="Q160"/>
      <c r="R160"/>
      <c r="S160"/>
    </row>
    <row r="161" spans="13:19" x14ac:dyDescent="0.3">
      <c r="M161"/>
      <c r="N161"/>
      <c r="O161"/>
      <c r="Q161"/>
      <c r="R161"/>
      <c r="S161"/>
    </row>
    <row r="162" spans="13:19" x14ac:dyDescent="0.3">
      <c r="M162"/>
      <c r="N162"/>
      <c r="O162"/>
      <c r="Q162"/>
      <c r="R162"/>
      <c r="S162"/>
    </row>
    <row r="163" spans="13:19" x14ac:dyDescent="0.3">
      <c r="M163"/>
      <c r="N163"/>
      <c r="O163"/>
      <c r="Q163"/>
      <c r="R163"/>
      <c r="S163"/>
    </row>
    <row r="164" spans="13:19" x14ac:dyDescent="0.3">
      <c r="M164"/>
      <c r="N164"/>
      <c r="O164"/>
      <c r="Q164"/>
      <c r="R164"/>
      <c r="S164"/>
    </row>
    <row r="165" spans="13:19" x14ac:dyDescent="0.3">
      <c r="M165"/>
      <c r="N165"/>
      <c r="O165"/>
      <c r="Q165"/>
      <c r="R165"/>
      <c r="S165"/>
    </row>
    <row r="166" spans="13:19" x14ac:dyDescent="0.3">
      <c r="M166"/>
      <c r="N166"/>
      <c r="O166"/>
      <c r="Q166"/>
      <c r="R166"/>
      <c r="S166"/>
    </row>
    <row r="167" spans="13:19" x14ac:dyDescent="0.3">
      <c r="M167"/>
      <c r="N167"/>
      <c r="O167"/>
      <c r="Q167"/>
      <c r="R167"/>
      <c r="S167"/>
    </row>
    <row r="168" spans="13:19" x14ac:dyDescent="0.3">
      <c r="M168"/>
      <c r="N168"/>
      <c r="O168"/>
      <c r="Q168"/>
      <c r="R168"/>
      <c r="S168"/>
    </row>
    <row r="169" spans="13:19" x14ac:dyDescent="0.3">
      <c r="M169"/>
      <c r="N169"/>
      <c r="O169"/>
      <c r="Q169"/>
      <c r="R169"/>
      <c r="S169"/>
    </row>
    <row r="170" spans="13:19" x14ac:dyDescent="0.3">
      <c r="M170"/>
      <c r="N170"/>
      <c r="O170"/>
      <c r="Q170"/>
      <c r="R170"/>
      <c r="S170"/>
    </row>
    <row r="171" spans="13:19" x14ac:dyDescent="0.3">
      <c r="M171"/>
      <c r="N171"/>
      <c r="O171"/>
      <c r="Q171"/>
      <c r="R171"/>
      <c r="S171"/>
    </row>
    <row r="172" spans="13:19" x14ac:dyDescent="0.3">
      <c r="M172"/>
      <c r="N172"/>
      <c r="O172"/>
      <c r="Q172"/>
      <c r="R172"/>
      <c r="S172"/>
    </row>
    <row r="173" spans="13:19" x14ac:dyDescent="0.3">
      <c r="M173"/>
      <c r="N173"/>
      <c r="O173"/>
      <c r="Q173"/>
      <c r="R173"/>
      <c r="S173"/>
    </row>
    <row r="174" spans="13:19" x14ac:dyDescent="0.3">
      <c r="M174"/>
      <c r="N174"/>
      <c r="O174"/>
      <c r="Q174"/>
      <c r="R174"/>
      <c r="S174"/>
    </row>
    <row r="175" spans="13:19" x14ac:dyDescent="0.3">
      <c r="M175"/>
      <c r="N175"/>
      <c r="O175"/>
      <c r="Q175"/>
      <c r="R175"/>
      <c r="S175"/>
    </row>
    <row r="176" spans="13:19" x14ac:dyDescent="0.3">
      <c r="M176"/>
      <c r="N176"/>
      <c r="O176"/>
      <c r="Q176"/>
      <c r="R176"/>
      <c r="S176"/>
    </row>
    <row r="177" spans="13:19" x14ac:dyDescent="0.3">
      <c r="M177"/>
      <c r="N177"/>
      <c r="O177"/>
      <c r="Q177"/>
      <c r="R177"/>
      <c r="S177"/>
    </row>
    <row r="178" spans="13:19" x14ac:dyDescent="0.3">
      <c r="M178"/>
      <c r="N178"/>
      <c r="O178"/>
      <c r="Q178"/>
      <c r="R178"/>
      <c r="S178"/>
    </row>
    <row r="179" spans="13:19" x14ac:dyDescent="0.3">
      <c r="M179"/>
      <c r="N179"/>
      <c r="O179"/>
      <c r="Q179"/>
      <c r="R179"/>
      <c r="S179"/>
    </row>
    <row r="180" spans="13:19" x14ac:dyDescent="0.3">
      <c r="M180"/>
      <c r="N180"/>
      <c r="O180"/>
      <c r="Q180"/>
      <c r="R180"/>
      <c r="S180"/>
    </row>
    <row r="181" spans="13:19" x14ac:dyDescent="0.3">
      <c r="M181"/>
      <c r="N181"/>
      <c r="O181"/>
      <c r="Q181"/>
      <c r="R181"/>
      <c r="S181"/>
    </row>
    <row r="182" spans="13:19" x14ac:dyDescent="0.3">
      <c r="M182"/>
      <c r="N182"/>
      <c r="O182"/>
      <c r="Q182"/>
      <c r="R182"/>
      <c r="S182"/>
    </row>
    <row r="183" spans="13:19" x14ac:dyDescent="0.3">
      <c r="M183"/>
      <c r="N183"/>
      <c r="O183"/>
      <c r="Q183"/>
      <c r="R183"/>
      <c r="S183"/>
    </row>
    <row r="184" spans="13:19" x14ac:dyDescent="0.3">
      <c r="M184"/>
      <c r="N184"/>
      <c r="O184"/>
      <c r="Q184"/>
      <c r="R184"/>
      <c r="S184"/>
    </row>
    <row r="185" spans="13:19" x14ac:dyDescent="0.3">
      <c r="M185"/>
      <c r="N185"/>
      <c r="O185"/>
      <c r="Q185"/>
      <c r="R185"/>
      <c r="S185"/>
    </row>
    <row r="186" spans="13:19" x14ac:dyDescent="0.3">
      <c r="M186"/>
      <c r="N186"/>
      <c r="O186"/>
      <c r="Q186"/>
      <c r="R186"/>
      <c r="S186"/>
    </row>
    <row r="187" spans="13:19" x14ac:dyDescent="0.3">
      <c r="M187"/>
      <c r="N187"/>
      <c r="O187"/>
      <c r="Q187"/>
      <c r="R187"/>
      <c r="S187"/>
    </row>
    <row r="188" spans="13:19" x14ac:dyDescent="0.3">
      <c r="M188"/>
      <c r="N188"/>
      <c r="O188"/>
      <c r="Q188"/>
      <c r="R188"/>
      <c r="S188"/>
    </row>
    <row r="189" spans="13:19" x14ac:dyDescent="0.3">
      <c r="M189"/>
      <c r="N189"/>
      <c r="O189"/>
      <c r="Q189"/>
      <c r="R189"/>
      <c r="S189"/>
    </row>
    <row r="190" spans="13:19" x14ac:dyDescent="0.3">
      <c r="M190"/>
      <c r="N190"/>
      <c r="O190"/>
      <c r="Q190"/>
      <c r="R190"/>
      <c r="S190"/>
    </row>
    <row r="191" spans="13:19" x14ac:dyDescent="0.3">
      <c r="M191"/>
      <c r="N191"/>
      <c r="O191"/>
      <c r="Q191"/>
      <c r="R191"/>
      <c r="S191"/>
    </row>
    <row r="192" spans="13:19" x14ac:dyDescent="0.3">
      <c r="M192"/>
      <c r="N192"/>
      <c r="O192"/>
      <c r="Q192"/>
      <c r="R192"/>
      <c r="S192"/>
    </row>
    <row r="193" spans="13:19" x14ac:dyDescent="0.3">
      <c r="M193"/>
      <c r="N193"/>
      <c r="O193"/>
      <c r="Q193"/>
      <c r="R193"/>
      <c r="S193"/>
    </row>
    <row r="194" spans="13:19" x14ac:dyDescent="0.3">
      <c r="M194"/>
      <c r="N194"/>
      <c r="O194"/>
      <c r="Q194"/>
      <c r="R194"/>
      <c r="S194"/>
    </row>
    <row r="195" spans="13:19" x14ac:dyDescent="0.3">
      <c r="M195"/>
      <c r="N195"/>
      <c r="O195"/>
      <c r="Q195"/>
      <c r="R195"/>
      <c r="S195"/>
    </row>
    <row r="196" spans="13:19" x14ac:dyDescent="0.3">
      <c r="M196"/>
      <c r="N196"/>
      <c r="O196"/>
      <c r="Q196"/>
      <c r="R196"/>
      <c r="S196"/>
    </row>
    <row r="197" spans="13:19" x14ac:dyDescent="0.3">
      <c r="M197"/>
      <c r="N197"/>
      <c r="O197"/>
      <c r="Q197"/>
      <c r="R197"/>
      <c r="S197"/>
    </row>
    <row r="198" spans="13:19" x14ac:dyDescent="0.3">
      <c r="M198"/>
      <c r="N198"/>
      <c r="O198"/>
      <c r="Q198"/>
      <c r="R198"/>
      <c r="S198"/>
    </row>
    <row r="199" spans="13:19" x14ac:dyDescent="0.3">
      <c r="M199"/>
      <c r="N199"/>
      <c r="O199"/>
      <c r="Q199"/>
      <c r="R199"/>
      <c r="S199"/>
    </row>
    <row r="200" spans="13:19" x14ac:dyDescent="0.3">
      <c r="M200"/>
      <c r="N200"/>
      <c r="O200"/>
      <c r="Q200"/>
      <c r="R200"/>
      <c r="S200"/>
    </row>
    <row r="201" spans="13:19" x14ac:dyDescent="0.3">
      <c r="M201"/>
      <c r="N201"/>
      <c r="O201"/>
      <c r="Q201"/>
      <c r="R201"/>
      <c r="S201"/>
    </row>
    <row r="202" spans="13:19" x14ac:dyDescent="0.3">
      <c r="M202"/>
      <c r="N202"/>
      <c r="O202"/>
      <c r="Q202"/>
      <c r="R202"/>
      <c r="S202"/>
    </row>
    <row r="203" spans="13:19" x14ac:dyDescent="0.3">
      <c r="M203"/>
      <c r="N203"/>
      <c r="O203"/>
      <c r="Q203"/>
      <c r="R203"/>
      <c r="S203"/>
    </row>
    <row r="204" spans="13:19" x14ac:dyDescent="0.3">
      <c r="M204"/>
      <c r="N204"/>
      <c r="O204"/>
      <c r="Q204"/>
      <c r="R204"/>
      <c r="S204"/>
    </row>
    <row r="205" spans="13:19" x14ac:dyDescent="0.3">
      <c r="M205"/>
      <c r="N205"/>
      <c r="O205"/>
      <c r="Q205"/>
      <c r="R205"/>
      <c r="S205"/>
    </row>
    <row r="206" spans="13:19" x14ac:dyDescent="0.3">
      <c r="M206"/>
      <c r="N206"/>
      <c r="O206"/>
      <c r="Q206"/>
      <c r="R206"/>
      <c r="S206"/>
    </row>
    <row r="207" spans="13:19" x14ac:dyDescent="0.3">
      <c r="M207"/>
      <c r="N207"/>
      <c r="O207"/>
      <c r="Q207"/>
      <c r="R207"/>
      <c r="S207"/>
    </row>
    <row r="208" spans="13:19" x14ac:dyDescent="0.3">
      <c r="M208"/>
      <c r="N208"/>
      <c r="O208"/>
      <c r="Q208"/>
      <c r="R208"/>
      <c r="S208"/>
    </row>
    <row r="209" spans="13:19" x14ac:dyDescent="0.3">
      <c r="M209"/>
      <c r="N209"/>
      <c r="O209"/>
      <c r="Q209"/>
      <c r="R209"/>
      <c r="S209"/>
    </row>
    <row r="210" spans="13:19" x14ac:dyDescent="0.3">
      <c r="M210"/>
      <c r="N210"/>
      <c r="O210"/>
      <c r="Q210"/>
      <c r="R210"/>
      <c r="S210"/>
    </row>
    <row r="211" spans="13:19" x14ac:dyDescent="0.3">
      <c r="M211"/>
      <c r="N211"/>
      <c r="O211"/>
      <c r="Q211"/>
      <c r="R211"/>
      <c r="S211"/>
    </row>
    <row r="212" spans="13:19" x14ac:dyDescent="0.3">
      <c r="M212"/>
      <c r="N212"/>
      <c r="O212"/>
      <c r="Q212"/>
      <c r="R212"/>
      <c r="S212"/>
    </row>
    <row r="213" spans="13:19" x14ac:dyDescent="0.3">
      <c r="M213"/>
      <c r="N213"/>
      <c r="O213"/>
      <c r="Q213"/>
      <c r="R213"/>
      <c r="S213"/>
    </row>
    <row r="214" spans="13:19" x14ac:dyDescent="0.3">
      <c r="M214"/>
      <c r="N214"/>
      <c r="O214"/>
      <c r="Q214"/>
      <c r="R214"/>
      <c r="S214"/>
    </row>
    <row r="215" spans="13:19" x14ac:dyDescent="0.3">
      <c r="M215"/>
      <c r="N215"/>
      <c r="O215"/>
      <c r="Q215"/>
      <c r="R215"/>
      <c r="S215"/>
    </row>
    <row r="216" spans="13:19" x14ac:dyDescent="0.3">
      <c r="M216"/>
      <c r="N216"/>
      <c r="O216"/>
      <c r="Q216"/>
      <c r="R216"/>
      <c r="S216"/>
    </row>
    <row r="217" spans="13:19" x14ac:dyDescent="0.3">
      <c r="M217"/>
      <c r="N217"/>
      <c r="O217"/>
      <c r="Q217"/>
      <c r="R217"/>
      <c r="S217"/>
    </row>
    <row r="218" spans="13:19" x14ac:dyDescent="0.3">
      <c r="M218"/>
      <c r="N218"/>
      <c r="O218"/>
      <c r="Q218"/>
      <c r="R218"/>
      <c r="S218"/>
    </row>
    <row r="219" spans="13:19" x14ac:dyDescent="0.3">
      <c r="M219"/>
      <c r="N219"/>
      <c r="O219"/>
      <c r="Q219"/>
      <c r="R219"/>
      <c r="S219"/>
    </row>
    <row r="220" spans="13:19" x14ac:dyDescent="0.3">
      <c r="M220"/>
      <c r="N220"/>
      <c r="O220"/>
      <c r="Q220"/>
      <c r="R220"/>
      <c r="S220"/>
    </row>
    <row r="221" spans="13:19" x14ac:dyDescent="0.3">
      <c r="M221"/>
      <c r="N221"/>
      <c r="O221"/>
      <c r="Q221"/>
      <c r="R221"/>
      <c r="S221"/>
    </row>
    <row r="222" spans="13:19" x14ac:dyDescent="0.3">
      <c r="M222"/>
      <c r="N222"/>
      <c r="O222"/>
      <c r="Q222"/>
      <c r="R222"/>
      <c r="S222"/>
    </row>
    <row r="223" spans="13:19" x14ac:dyDescent="0.3">
      <c r="M223"/>
      <c r="N223"/>
      <c r="O223"/>
      <c r="Q223"/>
      <c r="R223"/>
      <c r="S223"/>
    </row>
    <row r="224" spans="13:19" x14ac:dyDescent="0.3">
      <c r="M224"/>
      <c r="N224"/>
      <c r="O224"/>
      <c r="Q224"/>
      <c r="R224"/>
      <c r="S224"/>
    </row>
    <row r="225" spans="13:19" x14ac:dyDescent="0.3">
      <c r="M225"/>
      <c r="N225"/>
      <c r="O225"/>
      <c r="Q225"/>
      <c r="R225"/>
      <c r="S225"/>
    </row>
    <row r="226" spans="13:19" x14ac:dyDescent="0.3">
      <c r="M226"/>
      <c r="N226"/>
      <c r="O226"/>
      <c r="Q226"/>
      <c r="R226"/>
      <c r="S226"/>
    </row>
    <row r="227" spans="13:19" x14ac:dyDescent="0.3">
      <c r="M227"/>
      <c r="N227"/>
      <c r="O227"/>
      <c r="Q227"/>
      <c r="R227"/>
      <c r="S227"/>
    </row>
    <row r="228" spans="13:19" x14ac:dyDescent="0.3">
      <c r="M228"/>
      <c r="N228"/>
      <c r="O228"/>
      <c r="Q228"/>
      <c r="R228"/>
      <c r="S228"/>
    </row>
    <row r="229" spans="13:19" x14ac:dyDescent="0.3">
      <c r="M229"/>
      <c r="N229"/>
      <c r="O229"/>
      <c r="Q229"/>
      <c r="R229"/>
      <c r="S229"/>
    </row>
    <row r="230" spans="13:19" x14ac:dyDescent="0.3">
      <c r="M230"/>
      <c r="N230"/>
      <c r="O230"/>
      <c r="Q230"/>
      <c r="R230"/>
      <c r="S230"/>
    </row>
    <row r="231" spans="13:19" x14ac:dyDescent="0.3">
      <c r="M231"/>
      <c r="N231"/>
      <c r="O231"/>
      <c r="Q231"/>
      <c r="R231"/>
      <c r="S231"/>
    </row>
    <row r="232" spans="13:19" x14ac:dyDescent="0.3">
      <c r="M232"/>
      <c r="N232"/>
      <c r="O232"/>
      <c r="Q232"/>
      <c r="R232"/>
      <c r="S232"/>
    </row>
    <row r="233" spans="13:19" x14ac:dyDescent="0.3">
      <c r="M233"/>
      <c r="N233"/>
      <c r="O233"/>
    </row>
    <row r="234" spans="13:19" x14ac:dyDescent="0.3">
      <c r="M234"/>
      <c r="N234"/>
      <c r="O234"/>
    </row>
    <row r="235" spans="13:19" x14ac:dyDescent="0.3">
      <c r="M235"/>
      <c r="N235"/>
      <c r="O235"/>
    </row>
    <row r="236" spans="13:19" x14ac:dyDescent="0.3">
      <c r="M236"/>
      <c r="N236"/>
      <c r="O236"/>
    </row>
    <row r="237" spans="13:19" x14ac:dyDescent="0.3">
      <c r="M237"/>
      <c r="N237"/>
      <c r="O237"/>
    </row>
    <row r="238" spans="13:19" x14ac:dyDescent="0.3">
      <c r="M238"/>
      <c r="N238"/>
      <c r="O238"/>
    </row>
    <row r="239" spans="13:19" x14ac:dyDescent="0.3">
      <c r="M239"/>
      <c r="N239"/>
      <c r="O239"/>
    </row>
    <row r="240" spans="13:19" x14ac:dyDescent="0.3">
      <c r="M240"/>
      <c r="N240"/>
      <c r="O240"/>
    </row>
    <row r="241" spans="13:15" x14ac:dyDescent="0.3">
      <c r="M241"/>
      <c r="N241"/>
      <c r="O241"/>
    </row>
    <row r="242" spans="13:15" x14ac:dyDescent="0.3">
      <c r="M242"/>
      <c r="N242"/>
      <c r="O242"/>
    </row>
    <row r="243" spans="13:15" x14ac:dyDescent="0.3">
      <c r="M243"/>
      <c r="N243"/>
      <c r="O243"/>
    </row>
    <row r="244" spans="13:15" x14ac:dyDescent="0.3">
      <c r="M244"/>
      <c r="N244"/>
      <c r="O244"/>
    </row>
    <row r="245" spans="13:15" x14ac:dyDescent="0.3">
      <c r="M245"/>
      <c r="N245"/>
      <c r="O245"/>
    </row>
    <row r="246" spans="13:15" x14ac:dyDescent="0.3">
      <c r="M246"/>
      <c r="N246"/>
      <c r="O246"/>
    </row>
    <row r="247" spans="13:15" x14ac:dyDescent="0.3">
      <c r="M247"/>
      <c r="N247"/>
      <c r="O247"/>
    </row>
    <row r="248" spans="13:15" x14ac:dyDescent="0.3">
      <c r="M248"/>
      <c r="N248"/>
      <c r="O248"/>
    </row>
    <row r="249" spans="13:15" x14ac:dyDescent="0.3">
      <c r="M249"/>
      <c r="N249"/>
      <c r="O249"/>
    </row>
    <row r="250" spans="13:15" x14ac:dyDescent="0.3">
      <c r="M250"/>
      <c r="N250"/>
      <c r="O250"/>
    </row>
    <row r="251" spans="13:15" x14ac:dyDescent="0.3">
      <c r="M251"/>
      <c r="N251"/>
      <c r="O251"/>
    </row>
    <row r="252" spans="13:15" x14ac:dyDescent="0.3">
      <c r="M252"/>
      <c r="N252"/>
      <c r="O252"/>
    </row>
    <row r="253" spans="13:15" x14ac:dyDescent="0.3">
      <c r="M253"/>
      <c r="N253"/>
      <c r="O253"/>
    </row>
    <row r="254" spans="13:15" x14ac:dyDescent="0.3">
      <c r="M254"/>
      <c r="N254"/>
      <c r="O254"/>
    </row>
    <row r="255" spans="13:15" x14ac:dyDescent="0.3">
      <c r="M255"/>
      <c r="N255"/>
      <c r="O255"/>
    </row>
    <row r="256" spans="13:15" x14ac:dyDescent="0.3">
      <c r="M256"/>
      <c r="N256"/>
      <c r="O256"/>
    </row>
    <row r="257" spans="13:15" x14ac:dyDescent="0.3">
      <c r="M257"/>
      <c r="N257"/>
      <c r="O257"/>
    </row>
    <row r="258" spans="13:15" x14ac:dyDescent="0.3">
      <c r="M258"/>
      <c r="N258"/>
      <c r="O258"/>
    </row>
    <row r="259" spans="13:15" x14ac:dyDescent="0.3">
      <c r="M259"/>
      <c r="N259"/>
      <c r="O259"/>
    </row>
    <row r="260" spans="13:15" x14ac:dyDescent="0.3">
      <c r="M260"/>
      <c r="N260"/>
      <c r="O26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Ti-Zr-Mn-V-Fe Absorption</vt:lpstr>
      <vt:lpstr>Ti-Zr-Mn-V-Fe Desorption</vt:lpstr>
      <vt:lpstr>Mm-Ni-Fe-Al Absorption</vt:lpstr>
      <vt:lpstr>Mm-Ni-Fe-Al Desorption</vt:lpstr>
      <vt:lpstr>Ti-Cr-Mn-Fe-V Absorption</vt:lpstr>
      <vt:lpstr>Ti-Cr-Mn-Fe-V Desorption</vt:lpstr>
    </vt:vector>
  </TitlesOfParts>
  <Company>Hereon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Fleming,Lukas</dc:creator>
  <cp:lastModifiedBy>Fleming,Lukas</cp:lastModifiedBy>
  <dcterms:created xsi:type="dcterms:W3CDTF">2026-02-27T16:11:11Z</dcterms:created>
  <dcterms:modified xsi:type="dcterms:W3CDTF">2026-02-28T07:35:50Z</dcterms:modified>
</cp:coreProperties>
</file>